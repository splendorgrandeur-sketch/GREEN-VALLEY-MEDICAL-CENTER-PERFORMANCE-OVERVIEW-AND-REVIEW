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SENG PC\10 ALYTICS\"/>
    </mc:Choice>
  </mc:AlternateContent>
  <xr:revisionPtr revIDLastSave="0" documentId="8_{6C15EF7E-27E6-4B5E-9464-988D07CE7681}" xr6:coauthVersionLast="47" xr6:coauthVersionMax="47" xr10:uidLastSave="{00000000-0000-0000-0000-000000000000}"/>
  <bookViews>
    <workbookView xWindow="-98" yWindow="-98" windowWidth="21795" windowHeight="12975" activeTab="3" xr2:uid="{84679DAA-5E61-4D92-A7DD-08F068DE1D3D}"/>
  </bookViews>
  <sheets>
    <sheet name="Hospital_Data" sheetId="1" r:id="rId1"/>
    <sheet name="Clean Hospital_Data " sheetId="2" r:id="rId2"/>
    <sheet name="Pivot table" sheetId="3" r:id="rId3"/>
    <sheet name="Dashboard" sheetId="4" r:id="rId4"/>
  </sheets>
  <definedNames>
    <definedName name="_xlchart.v2.0" hidden="1">'Pivot table'!$E$7:$E$16</definedName>
    <definedName name="_xlchart.v2.1" hidden="1">'Pivot table'!$F$7:$F$16</definedName>
    <definedName name="Slicer_Department">#N/A</definedName>
    <definedName name="Slicer_Doctor_Name">#N/A</definedName>
    <definedName name="Slicer_Treatment_Typ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2" i="3" l="1"/>
  <c r="F23" i="3"/>
  <c r="F24" i="3"/>
  <c r="F25" i="3"/>
  <c r="F26" i="3"/>
  <c r="F21" i="3"/>
  <c r="F8" i="3"/>
  <c r="F9" i="3"/>
  <c r="F10" i="3"/>
  <c r="F11" i="3"/>
  <c r="F12" i="3"/>
  <c r="F13" i="3"/>
  <c r="F14" i="3"/>
  <c r="F15" i="3"/>
  <c r="F16" i="3"/>
  <c r="F17" i="3"/>
  <c r="F7" i="3"/>
  <c r="F57" i="3"/>
  <c r="F58" i="3"/>
  <c r="F59" i="3"/>
  <c r="F60" i="3"/>
  <c r="F61" i="3"/>
  <c r="F62" i="3"/>
  <c r="F63" i="3"/>
  <c r="F56" i="3"/>
  <c r="F31" i="3"/>
  <c r="F32" i="3"/>
  <c r="F33" i="3"/>
  <c r="F34" i="3"/>
  <c r="F30" i="3"/>
  <c r="F39" i="3"/>
  <c r="F40" i="3"/>
  <c r="F41" i="3"/>
  <c r="F38" i="3"/>
  <c r="F46" i="3"/>
  <c r="F47" i="3"/>
  <c r="F48" i="3"/>
  <c r="F49" i="3"/>
  <c r="F50" i="3"/>
  <c r="F51" i="3"/>
  <c r="F52" i="3"/>
  <c r="F45" i="3"/>
</calcChain>
</file>

<file path=xl/sharedStrings.xml><?xml version="1.0" encoding="utf-8"?>
<sst xmlns="http://schemas.openxmlformats.org/spreadsheetml/2006/main" count="5743" uniqueCount="467">
  <si>
    <t>Patient ID</t>
  </si>
  <si>
    <t>Department</t>
  </si>
  <si>
    <t>Treatment Type</t>
  </si>
  <si>
    <t>Doctor Name</t>
  </si>
  <si>
    <t>Gender</t>
  </si>
  <si>
    <t>Age</t>
  </si>
  <si>
    <t>Treatment Cost</t>
  </si>
  <si>
    <t>Hospital Stay (Days)</t>
  </si>
  <si>
    <t>Recovery Score</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</si>
  <si>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</si>
  <si>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</si>
  <si>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</si>
  <si>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</si>
  <si>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</si>
  <si>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</si>
  <si>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</si>
  <si>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</si>
  <si>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</si>
  <si>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</si>
  <si>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</si>
  <si>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</si>
  <si>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</si>
  <si>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</si>
  <si>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</si>
  <si>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</si>
  <si>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</si>
  <si>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</si>
  <si>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</si>
  <si>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</si>
  <si>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</si>
  <si>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</si>
  <si>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</si>
  <si>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</si>
  <si>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</si>
  <si>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</si>
  <si>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</si>
  <si>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</si>
  <si>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</si>
  <si>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</si>
  <si>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</si>
  <si>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</si>
  <si>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</si>
  <si>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</si>
  <si>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</si>
  <si>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</si>
  <si>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</si>
  <si>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</si>
  <si>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</si>
  <si>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</si>
  <si>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</si>
  <si>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</si>
  <si>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</si>
  <si>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</si>
  <si>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</si>
  <si>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</si>
  <si>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</si>
  <si>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</si>
  <si>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</si>
  <si>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</si>
  <si>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</si>
  <si>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</si>
  <si>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</si>
  <si>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</si>
  <si>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</si>
  <si>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</si>
  <si>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</si>
  <si>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</si>
  <si>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</si>
  <si>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</si>
  <si>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</si>
  <si>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</si>
  <si>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</si>
  <si>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</si>
  <si>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</si>
  <si>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</si>
  <si>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</si>
  <si>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</si>
  <si>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</si>
  <si>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</si>
  <si>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</si>
  <si>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</si>
  <si>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</si>
  <si>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</si>
  <si>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</si>
  <si>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</si>
  <si>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</si>
  <si>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</si>
  <si>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</si>
  <si>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</si>
  <si>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</si>
  <si>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</si>
  <si>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</si>
  <si>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</si>
  <si>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</si>
  <si>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</si>
  <si>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</si>
  <si>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</si>
  <si>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</si>
  <si>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</si>
  <si>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</si>
  <si>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</si>
  <si>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</si>
  <si>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</si>
  <si>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</si>
  <si>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</si>
  <si>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</si>
  <si>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</si>
  <si>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</si>
  <si>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</si>
  <si>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</si>
  <si>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</si>
  <si>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</si>
  <si>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</si>
  <si>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</si>
  <si>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</si>
  <si>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</si>
  <si>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</si>
  <si>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</si>
  <si>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</si>
  <si>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</si>
  <si>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</si>
  <si>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</si>
  <si>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</si>
  <si>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</si>
  <si>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</si>
  <si>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</si>
  <si>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</si>
  <si>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</si>
  <si>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</si>
  <si>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</si>
  <si>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</si>
  <si>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</si>
  <si>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</si>
  <si>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</si>
  <si>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</si>
  <si>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</si>
  <si>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</si>
  <si>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</si>
  <si>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</si>
  <si>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</si>
  <si>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</si>
  <si>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</si>
  <si>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</si>
  <si>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</si>
  <si>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</si>
  <si>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</si>
  <si>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</si>
  <si>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</si>
  <si>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</si>
  <si>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</si>
  <si>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</si>
  <si>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</si>
  <si>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</si>
  <si>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</si>
  <si>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</si>
  <si>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</si>
  <si>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</si>
  <si>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</si>
  <si>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</si>
  <si>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</si>
  <si>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</si>
  <si>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</si>
  <si>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</si>
  <si>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</si>
  <si>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</si>
  <si>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</si>
  <si>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</si>
  <si>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</si>
  <si>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</si>
  <si>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</si>
  <si>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</si>
  <si>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</si>
  <si>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</si>
  <si>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</si>
  <si>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</si>
  <si>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</si>
  <si>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</si>
  <si>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</si>
  <si>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</si>
  <si>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</si>
  <si>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</si>
  <si>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</si>
  <si>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</si>
  <si>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</si>
  <si>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</si>
  <si>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</si>
  <si>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</si>
  <si>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</si>
  <si>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</si>
  <si>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</si>
  <si>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</si>
  <si>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</si>
  <si>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</si>
  <si>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</si>
  <si>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</si>
  <si>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</si>
  <si>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</si>
  <si>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</si>
  <si>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</si>
  <si>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</si>
  <si>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</si>
  <si>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</si>
  <si>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</si>
  <si>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</si>
  <si>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</si>
  <si>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</si>
  <si>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</si>
  <si>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</si>
  <si>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</si>
  <si>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</si>
  <si>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</si>
  <si>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</si>
  <si>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</si>
  <si>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</si>
  <si>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</si>
  <si>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</si>
  <si>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</si>
  <si>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</si>
  <si>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</si>
  <si>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</si>
  <si>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</si>
  <si>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</si>
  <si>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</si>
  <si>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</si>
  <si>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</si>
  <si>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</si>
  <si>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</si>
  <si>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</si>
  <si>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</si>
  <si>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</si>
  <si>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</si>
  <si>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</si>
  <si>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</si>
  <si>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</si>
  <si>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</si>
  <si>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</si>
  <si>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</si>
  <si>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</si>
  <si>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</si>
  <si>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</si>
  <si>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</si>
  <si>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</si>
  <si>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</si>
  <si>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</si>
  <si>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</si>
  <si>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</si>
  <si>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</si>
  <si>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</si>
  <si>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</si>
  <si>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</si>
  <si>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</si>
  <si>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</si>
  <si>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</si>
  <si>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</si>
  <si>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</si>
  <si>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</si>
  <si>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</si>
  <si>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</si>
  <si>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</si>
  <si>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</si>
  <si>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</si>
  <si>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</si>
  <si>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</si>
  <si>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</si>
  <si>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</si>
  <si>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</si>
  <si>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</si>
  <si>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</si>
  <si>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</si>
  <si>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</si>
  <si>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</si>
  <si>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</si>
  <si>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</si>
  <si>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</si>
  <si>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</si>
  <si>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</si>
  <si>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</si>
  <si>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</si>
  <si>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</si>
  <si>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</si>
  <si>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</si>
  <si>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</si>
  <si>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</si>
  <si>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</si>
  <si>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</si>
  <si>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</si>
  <si>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</si>
  <si>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</si>
  <si>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</si>
  <si>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</si>
  <si>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</si>
  <si>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</si>
  <si>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</si>
  <si>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</si>
  <si>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</si>
  <si>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</si>
  <si>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</si>
  <si>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</si>
  <si>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</si>
  <si>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</si>
  <si>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</si>
  <si>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</si>
  <si>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</si>
  <si>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</si>
  <si>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</si>
  <si>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</si>
  <si>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</si>
  <si>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</si>
  <si>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</si>
  <si>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</si>
  <si>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</si>
  <si>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</si>
  <si>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</si>
  <si>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</si>
  <si>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</si>
  <si>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</si>
  <si>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</si>
  <si>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</si>
  <si>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</si>
  <si>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</si>
  <si>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</si>
  <si>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</si>
  <si>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</si>
  <si>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</si>
  <si>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</si>
  <si>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</si>
  <si>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</si>
  <si>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</si>
  <si>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</si>
  <si>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</si>
  <si>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</si>
  <si>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</si>
  <si>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</si>
  <si>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</si>
  <si>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</si>
  <si>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</si>
  <si>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</si>
  <si>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</si>
  <si>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</si>
  <si>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</si>
  <si>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</si>
  <si>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</si>
  <si>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</si>
  <si>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</si>
  <si>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</si>
  <si>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</si>
  <si>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</si>
  <si>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</si>
  <si>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</si>
  <si>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</si>
  <si>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</si>
  <si>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</si>
  <si>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</si>
  <si>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</si>
  <si>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</si>
  <si>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</si>
  <si>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</si>
  <si>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</si>
  <si>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</si>
  <si>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</si>
  <si>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</si>
  <si>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</si>
  <si>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</si>
  <si>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</si>
  <si>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</si>
  <si>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</si>
  <si>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</si>
  <si>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</si>
  <si>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</si>
  <si>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</si>
  <si>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</si>
  <si>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</si>
  <si>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</si>
  <si>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</si>
  <si>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</si>
  <si>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</si>
  <si>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</si>
  <si>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</si>
  <si>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</si>
  <si>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</si>
  <si>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</si>
  <si>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</si>
  <si>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</si>
  <si>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</si>
  <si>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</si>
  <si>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</si>
  <si>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</si>
  <si>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</si>
  <si>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</si>
  <si>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</si>
  <si>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</si>
  <si>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</si>
  <si>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</si>
  <si>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</si>
  <si>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</si>
  <si>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</si>
  <si>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</si>
  <si>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</si>
  <si>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</si>
  <si>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</si>
  <si>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</si>
  <si>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</si>
  <si>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</si>
  <si>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</si>
  <si>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</si>
  <si>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</si>
  <si>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</si>
  <si>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</si>
  <si>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</si>
  <si>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</si>
  <si>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</si>
  <si>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</si>
  <si>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</si>
  <si>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</si>
  <si>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</si>
  <si>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</si>
  <si>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</si>
  <si>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</si>
  <si>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</si>
  <si>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</si>
  <si>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</si>
  <si>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</si>
  <si>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</si>
  <si>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</si>
  <si>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</si>
  <si>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</si>
  <si>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</si>
  <si>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</si>
  <si>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</si>
  <si>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</si>
  <si>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</si>
  <si>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</si>
  <si>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</si>
  <si>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Highly Effective</t>
  </si>
  <si>
    <t>Low Cost</t>
  </si>
  <si>
    <t>Youth</t>
  </si>
  <si>
    <t>Short Stay</t>
  </si>
  <si>
    <t>Moderate Cost</t>
  </si>
  <si>
    <t>Elderly</t>
  </si>
  <si>
    <t>Moderately Effective</t>
  </si>
  <si>
    <t>Moderate Stay</t>
  </si>
  <si>
    <t>Middle Age</t>
  </si>
  <si>
    <t>Less Effective</t>
  </si>
  <si>
    <t>Long Stay</t>
  </si>
  <si>
    <t>Critical Cost</t>
  </si>
  <si>
    <t>Effective</t>
  </si>
  <si>
    <t>Adult</t>
  </si>
  <si>
    <t>Teenager</t>
  </si>
  <si>
    <t>High Cost</t>
  </si>
  <si>
    <t>Child</t>
  </si>
  <si>
    <t>Infant</t>
  </si>
  <si>
    <t>Very High Cost</t>
  </si>
  <si>
    <t>Treatment Effectiveness</t>
  </si>
  <si>
    <t>Age Group</t>
  </si>
  <si>
    <t>Row Labels</t>
  </si>
  <si>
    <t>Grand Total</t>
  </si>
  <si>
    <t>Count of Patient ID</t>
  </si>
  <si>
    <t>Avg.  of Treatment Cost</t>
  </si>
  <si>
    <t>Avg.  of Age</t>
  </si>
  <si>
    <t>Avg.  of Hospital Stay (Days)</t>
  </si>
  <si>
    <t>Avg. Recovery Score</t>
  </si>
  <si>
    <t>Cost category</t>
  </si>
  <si>
    <t>Avg.  Recovery Score</t>
  </si>
  <si>
    <t>Very Long Stay</t>
  </si>
  <si>
    <t>Very Short Stay</t>
  </si>
  <si>
    <t>Cost Category</t>
  </si>
  <si>
    <t>Lenght of 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</si>
</sst>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809]#,##0;\-[$£-809]#,##0"/>
    <numFmt numFmtId="165" formatCode="[$£-809]#,##0.00;\-[$£-809]#,##0.00"/>
  </numFmts>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4F6F8"/>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1" applyNumberFormat="1" applyFont="1"/>
    <xf numFmtId="0" fontId="2" fillId="0" borderId="0" xfId="0" applyFont="1"/>
    <xf numFmtId="164" fontId="2" fillId="0" borderId="0" xfId="1" applyNumberFormat="1" applyFon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2" fontId="0" fillId="0" borderId="0" xfId="0" applyNumberFormat="1"/>
  </cellXfs>
  <cellStyles count="2">
    <cellStyle name="Currency" xfId="1" builtinId="4"/>
    <cellStyle name="Normal" xfId="0" builtinId="0"/>
  </cellStyles>
  <dxfs count="12">
    <dxf>
      <numFmt numFmtId="165" formatCode="[$£-809]#,##0.00;\-[$£-809]#,##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809]#,##0;\-[$£-809]#,##0"/>
    </dxf>
    <dxf>
      <numFmt numFmtId="164" formatCode="[$£-809]#,##0;\-[$£-809]#,##0"/>
    </dxf>
    <dxf>
      <font>
        <color theme="0"/>
      </font>
      <fill>
        <patternFill>
          <bgColor rgb="FF38544A"/>
        </patternFill>
      </fill>
      <border diagonalUp="0" diagonalDown="0">
        <left/>
        <right/>
        <top/>
        <bottom/>
        <vertical/>
        <horizontal/>
      </border>
    </dxf>
    <dxf>
      <font>
        <color theme="0"/>
      </font>
      <fill>
        <patternFill>
          <bgColor rgb="FFF0F5F0"/>
        </patternFill>
      </fill>
      <border diagonalUp="0" diagonalDown="0">
        <left/>
        <right/>
        <top/>
        <bottom/>
        <vertical/>
        <horizontal/>
      </border>
    </dxf>
  </dxfs>
  <tableStyles count="1" defaultTableStyle="TableStyleMedium2" defaultPivotStyle="PivotStyleLight16">
    <tableStyle name="Slicer Style 1" pivot="0" table="0" count="4" xr9:uid="{E47021EE-1759-4411-9D87-84C5E6189B1E}">
      <tableStyleElement type="wholeTable" dxfId="11"/>
      <tableStyleElement type="headerRow" dxfId="10"/>
    </tableStyle>
  </tableStyles>
  <colors>
    <mruColors>
      <color rgb="FF000000"/>
      <color rgb="FF644696"/>
      <color rgb="FF3C78B4"/>
      <color rgb="FFE6A032"/>
      <color rgb="FF38544A"/>
      <color rgb="FFF0F5F0"/>
      <color rgb="FFBED2C8"/>
      <color rgb="FF6E8C82"/>
      <color rgb="FFEBEEEB"/>
      <color rgb="FF78A091"/>
    </mruColors>
  </colors>
  <extLst>
    <ext xmlns:x14="http://schemas.microsoft.com/office/spreadsheetml/2009/9/main" uri="{46F421CA-312F-682f-3DD2-61675219B42D}">
      <x14:dxfs count="2">
        <dxf>
          <font>
            <color theme="0"/>
          </font>
          <fill>
            <patternFill>
              <bgColor rgb="FF6E8C82"/>
            </patternFill>
          </fill>
          <border diagonalUp="0" diagonalDown="0">
            <left/>
            <right/>
            <top/>
            <bottom/>
            <vertical/>
            <horizontal/>
          </border>
        </dxf>
        <dxf>
          <fill>
            <patternFill>
              <bgColor rgb="FFBED2C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val>
            <c:numRef>
              <c:f>'Pivot table'!#REF!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'Pivot table'!#REF!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'Pivot table'!#REF!</c15:sqref>
                        </c15:formulaRef>
                      </c:ext>
                    </c:extLst>
                  </c:multiLvlStrRef>
                </c15:cat>
              </c15:filteredCategoryTitle>
            </c:ext>
            <c:ext xmlns:c16="http://schemas.microsoft.com/office/drawing/2014/chart" uri="{C3380CC4-5D6E-409C-BE32-E72D297353CC}">
              <c16:uniqueId val="{00000000-BF68-41A0-88A5-7FEEABCF327E}"/>
            </c:ext>
          </c:extLst>
        </c:ser>
        <c:dLbls>
          <c:showLegendKey val="0"/>
          <c:showVal val="0"/>
          <c:showCatName val="0"/>
          <c:showSerName val="0"/>
          <c:showPercent val="0"/>
          <c:showBubbleSize val="0"/>
        </c:dLbls>
        <c:gapWidth val="182"/>
        <c:axId val="1428442240"/>
        <c:axId val="1748499120"/>
      </c:barChart>
      <c:catAx>
        <c:axId val="142844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NG"/>
          </a:p>
        </c:txPr>
        <c:crossAx val="1748499120"/>
        <c:crosses val="autoZero"/>
        <c:auto val="1"/>
        <c:lblAlgn val="ctr"/>
        <c:lblOffset val="100"/>
        <c:noMultiLvlLbl val="0"/>
      </c:catAx>
      <c:valAx>
        <c:axId val="174849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Segoe UI" panose="020B0502040204020203" pitchFamily="34" charset="0"/>
                <a:ea typeface="+mn-ea"/>
                <a:cs typeface="Segoe UI" panose="020B0502040204020203" pitchFamily="34" charset="0"/>
              </a:defRPr>
            </a:pPr>
            <a:endParaRPr lang="en-NG"/>
          </a:p>
        </c:txPr>
        <c:crossAx val="1428442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87660349316252"/>
          <c:y val="0.1108983640705177"/>
          <c:w val="0.61940394233049967"/>
          <c:h val="0.69555104658842648"/>
        </c:manualLayout>
      </c:layout>
      <c:barChart>
        <c:barDir val="bar"/>
        <c:grouping val="clustered"/>
        <c:varyColors val="0"/>
        <c:dLbls>
          <c:showLegendKey val="0"/>
          <c:showVal val="0"/>
          <c:showCatName val="0"/>
          <c:showSerName val="0"/>
          <c:showPercent val="0"/>
          <c:showBubbleSize val="0"/>
        </c:dLbls>
        <c:gapWidth val="182"/>
        <c:axId val="504062111"/>
        <c:axId val="1874632591"/>
      </c:barChart>
      <c:catAx>
        <c:axId val="504062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crossAx val="1874632591"/>
        <c:crosses val="autoZero"/>
        <c:auto val="1"/>
        <c:lblAlgn val="ctr"/>
        <c:lblOffset val="100"/>
        <c:noMultiLvlLbl val="0"/>
      </c:catAx>
      <c:valAx>
        <c:axId val="1874632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crossAx val="50406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1E4D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table'!$E$56:$E$62</c:f>
              <c:strCache>
                <c:ptCount val="7"/>
                <c:pt idx="0">
                  <c:v>Cardiology</c:v>
                </c:pt>
                <c:pt idx="1">
                  <c:v>Neurology</c:v>
                </c:pt>
                <c:pt idx="2">
                  <c:v>Oncology</c:v>
                </c:pt>
                <c:pt idx="3">
                  <c:v>Pediatrics</c:v>
                </c:pt>
                <c:pt idx="4">
                  <c:v>Orthopedics</c:v>
                </c:pt>
                <c:pt idx="5">
                  <c:v>General Medicine</c:v>
                </c:pt>
                <c:pt idx="6">
                  <c:v>Dermatology</c:v>
                </c:pt>
              </c:strCache>
            </c:strRef>
          </c:cat>
          <c:val>
            <c:numRef>
              <c:f>'Pivot table'!$F$56:$F$62</c:f>
              <c:numCache>
                <c:formatCode>0.00</c:formatCode>
                <c:ptCount val="7"/>
                <c:pt idx="0">
                  <c:v>72.924528301886795</c:v>
                </c:pt>
                <c:pt idx="1">
                  <c:v>74.982456140350877</c:v>
                </c:pt>
                <c:pt idx="2">
                  <c:v>75.067796610169495</c:v>
                </c:pt>
                <c:pt idx="3">
                  <c:v>75.457627118644069</c:v>
                </c:pt>
                <c:pt idx="4">
                  <c:v>75.518518518518519</c:v>
                </c:pt>
                <c:pt idx="5">
                  <c:v>76.574074074074076</c:v>
                </c:pt>
                <c:pt idx="6">
                  <c:v>76.609375</c:v>
                </c:pt>
              </c:numCache>
            </c:numRef>
          </c:val>
          <c:extLst>
            <c:ext xmlns:c16="http://schemas.microsoft.com/office/drawing/2014/chart" uri="{C3380CC4-5D6E-409C-BE32-E72D297353CC}">
              <c16:uniqueId val="{00000000-6938-44EA-87EC-0A192D6D86EB}"/>
            </c:ext>
          </c:extLst>
        </c:ser>
        <c:dLbls>
          <c:dLblPos val="outEnd"/>
          <c:showLegendKey val="0"/>
          <c:showVal val="1"/>
          <c:showCatName val="0"/>
          <c:showSerName val="0"/>
          <c:showPercent val="0"/>
          <c:showBubbleSize val="0"/>
        </c:dLbls>
        <c:gapWidth val="182"/>
        <c:axId val="1604596512"/>
        <c:axId val="1748472240"/>
      </c:barChart>
      <c:catAx>
        <c:axId val="160459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NG"/>
          </a:p>
        </c:txPr>
        <c:crossAx val="1748472240"/>
        <c:crosses val="autoZero"/>
        <c:auto val="1"/>
        <c:lblAlgn val="ctr"/>
        <c:lblOffset val="100"/>
        <c:noMultiLvlLbl val="0"/>
      </c:catAx>
      <c:valAx>
        <c:axId val="1748472240"/>
        <c:scaling>
          <c:orientation val="minMax"/>
        </c:scaling>
        <c:delete val="1"/>
        <c:axPos val="b"/>
        <c:numFmt formatCode="0.00" sourceLinked="1"/>
        <c:majorTickMark val="none"/>
        <c:minorTickMark val="none"/>
        <c:tickLblPos val="nextTo"/>
        <c:crossAx val="1604596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w="19050">
            <a:solidFill>
              <a:schemeClr val="bg2">
                <a:lumMod val="10000"/>
              </a:schemeClr>
            </a:solidFill>
          </a:ln>
          <a:effectLst/>
        </c:spPr>
      </c:pivotFmt>
      <c:pivotFmt>
        <c:idx val="2"/>
        <c:spPr>
          <a:solidFill>
            <a:schemeClr val="bg2">
              <a:lumMod val="25000"/>
            </a:schemeClr>
          </a:solidFill>
          <a:ln w="19050">
            <a:solidFill>
              <a:schemeClr val="lt1"/>
            </a:solidFill>
          </a:ln>
          <a:effectLst/>
        </c:spPr>
      </c:pivotFmt>
      <c:pivotFmt>
        <c:idx val="3"/>
        <c:spPr>
          <a:solidFill>
            <a:schemeClr val="bg2">
              <a:lumMod val="75000"/>
            </a:schemeClr>
          </a:solidFill>
          <a:ln w="19050">
            <a:solidFill>
              <a:schemeClr val="lt1"/>
            </a:solidFill>
          </a:ln>
          <a:effectLst/>
          <a:scene3d>
            <a:camera prst="orthographicFront"/>
            <a:lightRig rig="threePt" dir="t"/>
          </a:scene3d>
          <a:sp3d>
            <a:bevelT prst="relaxedInset"/>
          </a:sp3d>
        </c:spPr>
      </c:pivotFmt>
      <c:pivotFmt>
        <c:idx val="4"/>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50000"/>
            </a:schemeClr>
          </a:solidFill>
          <a:ln w="19050">
            <a:solidFill>
              <a:schemeClr val="bg2">
                <a:lumMod val="10000"/>
              </a:schemeClr>
            </a:solidFill>
          </a:ln>
          <a:effectLst/>
        </c:spPr>
      </c:pivotFmt>
      <c:pivotFmt>
        <c:idx val="6"/>
        <c:spPr>
          <a:solidFill>
            <a:schemeClr val="bg2">
              <a:lumMod val="25000"/>
            </a:schemeClr>
          </a:solidFill>
          <a:ln w="19050">
            <a:solidFill>
              <a:schemeClr val="lt1"/>
            </a:solidFill>
          </a:ln>
          <a:effectLst/>
        </c:spPr>
      </c:pivotFmt>
      <c:pivotFmt>
        <c:idx val="7"/>
        <c:spPr>
          <a:solidFill>
            <a:schemeClr val="bg2">
              <a:lumMod val="75000"/>
            </a:schemeClr>
          </a:solidFill>
          <a:ln w="19050">
            <a:solidFill>
              <a:schemeClr val="lt1"/>
            </a:solidFill>
          </a:ln>
          <a:effectLst/>
          <a:scene3d>
            <a:camera prst="orthographicFront"/>
            <a:lightRig rig="threePt" dir="t"/>
          </a:scene3d>
          <a:sp3d>
            <a:bevelT prst="relaxedInset"/>
          </a:sp3d>
        </c:spPr>
      </c:pivotFmt>
      <c:pivotFmt>
        <c:idx val="8"/>
        <c:spPr>
          <a:solidFill>
            <a:schemeClr val="dk1">
              <a:tint val="88500"/>
            </a:schemeClr>
          </a:solidFill>
          <a:ln w="19050">
            <a:solidFill>
              <a:schemeClr val="lt1"/>
            </a:solidFill>
          </a:ln>
          <a:effectLst/>
        </c:spPr>
        <c:marker>
          <c:symbol val="none"/>
        </c:marker>
        <c:dLbl>
          <c:idx val="0"/>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2">
              <a:lumMod val="50000"/>
            </a:schemeClr>
          </a:solidFill>
          <a:ln w="19050">
            <a:solidFill>
              <a:schemeClr val="bg2">
                <a:lumMod val="10000"/>
              </a:schemeClr>
            </a:solidFill>
          </a:ln>
          <a:effectLst/>
        </c:spPr>
        <c:dLbl>
          <c:idx val="0"/>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4444459743075"/>
                  <c:h val="0.29073202637331763"/>
                </c:manualLayout>
              </c15:layout>
            </c:ext>
          </c:extLst>
        </c:dLbl>
      </c:pivotFmt>
      <c:pivotFmt>
        <c:idx val="10"/>
        <c:spPr>
          <a:solidFill>
            <a:schemeClr val="bg2">
              <a:lumMod val="25000"/>
            </a:schemeClr>
          </a:solidFill>
          <a:ln w="19050">
            <a:solidFill>
              <a:schemeClr val="lt1"/>
            </a:solidFill>
          </a:ln>
          <a:effectLst/>
        </c:spPr>
      </c:pivotFmt>
      <c:pivotFmt>
        <c:idx val="11"/>
        <c:spPr>
          <a:solidFill>
            <a:schemeClr val="bg2">
              <a:lumMod val="75000"/>
            </a:schemeClr>
          </a:solidFill>
          <a:ln w="19050">
            <a:solidFill>
              <a:schemeClr val="lt1"/>
            </a:solidFill>
          </a:ln>
          <a:effectLst/>
          <a:scene3d>
            <a:camera prst="orthographicFront"/>
            <a:lightRig rig="threePt" dir="t"/>
          </a:scene3d>
          <a:sp3d>
            <a:bevelT prst="relaxedInset"/>
          </a:sp3d>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r>
                  <a:rPr lang="en-US" baseline="0"/>
                  <a:t>
</a:t>
                </a:r>
                <a:fld id="{E2A340A2-2209-4F1C-918A-E4FCFE0041FA}" type="CATEGORYNAME">
                  <a:rPr lang="en-US" baseline="0"/>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[CATEGORY NAME]</a:t>
                </a:fld>
                <a:r>
                  <a:rPr lang="en-US" baseline="0"/>
                  <a:t>
</a:t>
                </a:r>
                <a:fld id="{D37C16FC-A892-4287-8D3E-0E3807E8027C}" type="PERCENTAGE">
                  <a:rPr lang="en-US" baseline="0"/>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[PERCENTAGE]</a:t>
                </a:fld>
                <a:endParaRPr lang="en-US" baseline="0"/>
              </a:p>
            </c:rich>
          </c:tx>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1"/>
          <c:showPercent val="1"/>
          <c:showBubbleSize val="1"/>
          <c:extLst>
            <c:ext xmlns:c15="http://schemas.microsoft.com/office/drawing/2012/chart" uri="{CE6537A1-D6FC-4f65-9D91-7224C49458BB}">
              <c15:dlblFieldTable/>
              <c15:showDataLabelsRange val="0"/>
            </c:ext>
          </c:extLst>
        </c:dLbl>
      </c:pivotFmt>
      <c:pivotFmt>
        <c:idx val="12"/>
        <c:spPr>
          <a:solidFill>
            <a:schemeClr val="dk1">
              <a:tint val="88500"/>
            </a:schemeClr>
          </a:solidFill>
          <a:ln w="19050">
            <a:solidFill>
              <a:schemeClr val="lt1"/>
            </a:solidFill>
          </a:ln>
          <a:effectLst/>
        </c:spPr>
        <c:marker>
          <c:symbol val="none"/>
        </c:marker>
        <c:dLbl>
          <c:idx val="0"/>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bg2">
              <a:lumMod val="50000"/>
            </a:schemeClr>
          </a:solidFill>
          <a:ln w="19050">
            <a:solidFill>
              <a:schemeClr val="bg2">
                <a:lumMod val="10000"/>
              </a:schemeClr>
            </a:solidFill>
          </a:ln>
          <a:effectLst/>
        </c:spPr>
        <c:dLbl>
          <c:idx val="0"/>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4444459743075"/>
                  <c:h val="0.29073202637331763"/>
                </c:manualLayout>
              </c15:layout>
            </c:ext>
          </c:extLst>
        </c:dLbl>
      </c:pivotFmt>
      <c:pivotFmt>
        <c:idx val="14"/>
        <c:spPr>
          <a:solidFill>
            <a:schemeClr val="bg2">
              <a:lumMod val="25000"/>
            </a:schemeClr>
          </a:solidFill>
          <a:ln w="19050">
            <a:solidFill>
              <a:schemeClr val="lt1"/>
            </a:solidFill>
          </a:ln>
          <a:effectLst/>
        </c:spPr>
      </c:pivotFmt>
      <c:pivotFmt>
        <c:idx val="15"/>
        <c:spPr>
          <a:solidFill>
            <a:schemeClr val="bg2">
              <a:lumMod val="75000"/>
            </a:schemeClr>
          </a:solidFill>
          <a:ln w="19050">
            <a:solidFill>
              <a:schemeClr val="lt1"/>
            </a:solidFill>
          </a:ln>
          <a:effectLst/>
          <a:scene3d>
            <a:camera prst="orthographicFront"/>
            <a:lightRig rig="threePt" dir="t"/>
          </a:scene3d>
          <a:sp3d>
            <a:bevelT prst="relaxedInset"/>
          </a:sp3d>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r>
                  <a:rPr lang="en-US" baseline="0"/>
                  <a:t>
</a:t>
                </a:r>
                <a:fld id="{E2A340A2-2209-4F1C-918A-E4FCFE0041FA}" type="CATEGORYNAME">
                  <a:rPr lang="en-US" baseline="0"/>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[CATEGORY NAME]</a:t>
                </a:fld>
                <a:r>
                  <a:rPr lang="en-US" baseline="0"/>
                  <a:t>
</a:t>
                </a:r>
                <a:fld id="{D37C16FC-A892-4287-8D3E-0E3807E8027C}" type="PERCENTAGE">
                  <a:rPr lang="en-US" baseline="0"/>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[PERCENTAGE]</a:t>
                </a:fld>
                <a:endParaRPr lang="en-US" baseline="0"/>
              </a:p>
            </c:rich>
          </c:tx>
          <c:spPr>
            <a:solidFill>
              <a:srgbClr val="E8E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1"/>
          <c:showPercent val="1"/>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956327450076356"/>
          <c:y val="0.12640488142002967"/>
          <c:w val="0.68090783383851594"/>
          <c:h val="1"/>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6937293938984957"/>
          <c:y val="0.30823336387462447"/>
          <c:w val="0.6749495586452342"/>
          <c:h val="0.50722507511026826"/>
        </c:manualLayout>
      </c:layout>
      <c:doughnutChart>
        <c:varyColors val="1"/>
        <c:ser>
          <c:idx val="0"/>
          <c:order val="0"/>
          <c:spPr>
            <a:solidFill>
              <a:sysClr val="window" lastClr="FFFFFF"/>
            </a:solidFill>
            <a:scene3d>
              <a:camera prst="orthographicFront"/>
              <a:lightRig rig="threePt" dir="t">
                <a:rot lat="0" lon="0" rev="1200000"/>
              </a:lightRig>
            </a:scene3d>
            <a:sp3d/>
          </c:spPr>
          <c:dPt>
            <c:idx val="0"/>
            <c:bubble3D val="0"/>
            <c:spPr>
              <a:solidFill>
                <a:srgbClr val="6E9C6E"/>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1-1B81-4ED1-A1A0-ECB1954AE248}"/>
              </c:ext>
            </c:extLst>
          </c:dPt>
          <c:dPt>
            <c:idx val="1"/>
            <c:bubble3D val="0"/>
            <c:spPr>
              <a:solidFill>
                <a:srgbClr val="1E4D2B"/>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3-1B81-4ED1-A1A0-ECB1954AE248}"/>
              </c:ext>
            </c:extLst>
          </c:dPt>
          <c:dPt>
            <c:idx val="2"/>
            <c:bubble3D val="0"/>
            <c:spPr>
              <a:solidFill>
                <a:srgbClr val="D1D5DB"/>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5-1B81-4ED1-A1A0-ECB1954AE248}"/>
              </c:ext>
            </c:extLst>
          </c:dPt>
          <c:dLbls>
            <c:dLbl>
              <c:idx val="0"/>
              <c:layout>
                <c:manualLayout>
                  <c:x val="7.8372368912020526E-2"/>
                  <c:y val="-0.2191939229933306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fld id="{E4983B6B-A16F-416B-BA82-8086237DF8E1}" type="CATEGORYNAME">
                      <a:rPr lang="en-US" sz="900" b="1">
                        <a:solidFill>
                          <a:schemeClr val="tx1"/>
                        </a:solidFill>
                        <a:latin typeface="Segoe UI" panose="020B0502040204020203" pitchFamily="34" charset="0"/>
                        <a:ea typeface="Segoe UI Black" panose="020B0A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[CATEGORY NAME]</a:t>
                    </a:fld>
                    <a:r>
                      <a:rPr lang="en-US" b="1" baseline="0">
                        <a:latin typeface="Segoe UI" panose="020B0502040204020203" pitchFamily="34" charset="0"/>
                        <a:ea typeface="Segoe UI Black" panose="020B0A02040204020203" pitchFamily="34" charset="0"/>
                        <a:cs typeface="Segoe UI" panose="020B0502040204020203" pitchFamily="34" charset="0"/>
                      </a:rPr>
                      <a:t>
</a:t>
                    </a:r>
                    <a:fld id="{A78C87B2-EF52-430C-839C-E997395064B3}" type="PERCENTAGE">
                      <a:rPr lang="en-US"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[PERCENTAGE]</a:t>
                    </a:fld>
                    <a:endParaRPr lang="en-US" b="1" baseline="0">
                      <a:latin typeface="Segoe UI" panose="020B0502040204020203" pitchFamily="34" charset="0"/>
                      <a:ea typeface="Segoe UI Black" panose="020B0A02040204020203" pitchFamily="34" charset="0"/>
                      <a:cs typeface="Segoe UI" panose="020B05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957213028670197"/>
                      <c:h val="0.22682533932794954"/>
                    </c:manualLayout>
                  </c15:layout>
                  <c15:dlblFieldTable/>
                  <c15:showDataLabelsRange val="0"/>
                </c:ext>
                <c:ext xmlns:c16="http://schemas.microsoft.com/office/drawing/2014/chart" uri="{C3380CC4-5D6E-409C-BE32-E72D297353CC}">
                  <c16:uniqueId val="{00000001-1B81-4ED1-A1A0-ECB1954AE248}"/>
                </c:ext>
              </c:extLst>
            </c:dLbl>
            <c:dLbl>
              <c:idx val="1"/>
              <c:layout>
                <c:manualLayout>
                  <c:x val="-7.9220430138014802E-2"/>
                  <c:y val="0.1038447549010661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fld id="{C53853F1-B6E3-4139-890E-33B116DCFF0E}" type="CATEGORYNAME">
                      <a:rPr lang="en-US" b="1">
                        <a:solidFill>
                          <a:schemeClr val="tx1"/>
                        </a:solidFill>
                        <a:latin typeface="Segoe UI" panose="020B0502040204020203" pitchFamily="34" charset="0"/>
                        <a:ea typeface="Segoe UI Black" panose="020B0A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[CATEGORY NAME]</a:t>
                    </a:fld>
                    <a:r>
                      <a:rPr lang="en-US"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a:t>
                    </a:r>
                    <a:fld id="{37F15414-292F-4F0D-B1A0-F153DC351BDB}" type="PERCENTAGE">
                      <a:rPr lang="en-US"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[PERCENTAGE]</a:t>
                    </a:fld>
                    <a:endParaRPr lang="en-US" b="1" baseline="0">
                      <a:solidFill>
                        <a:schemeClr val="tx1"/>
                      </a:solidFill>
                      <a:latin typeface="Segoe UI" panose="020B0502040204020203" pitchFamily="34" charset="0"/>
                      <a:ea typeface="Segoe UI Black" panose="020B0A02040204020203" pitchFamily="34" charset="0"/>
                      <a:cs typeface="Segoe UI" panose="020B05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0726502948224885"/>
                      <c:h val="0.1908044874501893"/>
                    </c:manualLayout>
                  </c15:layout>
                  <c15:dlblFieldTable/>
                  <c15:showDataLabelsRange val="0"/>
                </c:ext>
                <c:ext xmlns:c16="http://schemas.microsoft.com/office/drawing/2014/chart" uri="{C3380CC4-5D6E-409C-BE32-E72D297353CC}">
                  <c16:uniqueId val="{00000003-1B81-4ED1-A1A0-ECB1954AE248}"/>
                </c:ext>
              </c:extLst>
            </c:dLbl>
            <c:dLbl>
              <c:idx val="2"/>
              <c:layout>
                <c:manualLayout>
                  <c:x val="-4.3211143711644417E-2"/>
                  <c:y val="-0.18326322665035774"/>
                </c:manualLayout>
              </c:layout>
              <c:tx>
                <c:rich>
                  <a:bodyPr/>
                  <a:lstStyle/>
                  <a:p>
                    <a:fld id="{8E2E2A64-E825-4E6F-9EBF-1678A3360C77}" type="CATEGORYNAME">
                      <a:rPr lang="en-US">
                        <a:solidFill>
                          <a:schemeClr val="tx1"/>
                        </a:solidFill>
                        <a:latin typeface="Segoe UI" panose="020B0502040204020203" pitchFamily="34" charset="0"/>
                        <a:ea typeface="Segoe UI Black" panose="020B0A02040204020203" pitchFamily="34" charset="0"/>
                        <a:cs typeface="Segoe UI" panose="020B0502040204020203" pitchFamily="34" charset="0"/>
                      </a:rPr>
                      <a:pPr/>
                      <a:t>[CATEGORY NAME]</a:t>
                    </a:fld>
                    <a:r>
                      <a:rPr lang="en-US"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a:t>
                    </a:r>
                    <a:fld id="{CA9C18A6-AEB7-4528-A548-94B91810FF5D}" type="PERCENTAGE">
                      <a:rPr lang="en-US" baseline="0">
                        <a:solidFill>
                          <a:schemeClr val="tx1"/>
                        </a:solidFill>
                        <a:latin typeface="Segoe UI" panose="020B0502040204020203" pitchFamily="34" charset="0"/>
                        <a:ea typeface="Segoe UI Black" panose="020B0A02040204020203" pitchFamily="34" charset="0"/>
                        <a:cs typeface="Segoe UI" panose="020B0502040204020203" pitchFamily="34" charset="0"/>
                      </a:rPr>
                      <a:pPr/>
                      <a:t>[PERCENTAGE]</a:t>
                    </a:fld>
                    <a:endParaRPr lang="en-US" baseline="0">
                      <a:solidFill>
                        <a:schemeClr val="tx1"/>
                      </a:solidFill>
                      <a:latin typeface="Segoe UI" panose="020B0502040204020203" pitchFamily="34" charset="0"/>
                      <a:ea typeface="Segoe UI Black" panose="020B0A02040204020203" pitchFamily="34" charset="0"/>
                      <a:cs typeface="Segoe UI" panose="020B0502040204020203" pitchFamily="34" charset="0"/>
                    </a:endParaRPr>
                  </a:p>
                </c:rich>
              </c:tx>
              <c:showLegendKey val="0"/>
              <c:showVal val="0"/>
              <c:showCatName val="1"/>
              <c:showSerName val="0"/>
              <c:showPercent val="1"/>
              <c:showBubbleSize val="0"/>
              <c:extLst>
                <c:ext xmlns:c15="http://schemas.microsoft.com/office/drawing/2012/chart" uri="{CE6537A1-D6FC-4f65-9D91-7224C49458BB}">
                  <c15:layout>
                    <c:manualLayout>
                      <c:w val="0.2537571579089436"/>
                      <c:h val="0.20972883547077015"/>
                    </c:manualLayout>
                  </c15:layout>
                  <c15:dlblFieldTable/>
                  <c15:showDataLabelsRange val="0"/>
                </c:ext>
                <c:ext xmlns:c16="http://schemas.microsoft.com/office/drawing/2014/chart" uri="{C3380CC4-5D6E-409C-BE32-E72D297353CC}">
                  <c16:uniqueId val="{00000005-1B81-4ED1-A1A0-ECB1954AE2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endParaRPr lang="en-NG"/>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table'!$E$38:$E$40</c:f>
              <c:strCache>
                <c:ptCount val="3"/>
                <c:pt idx="0">
                  <c:v>Female</c:v>
                </c:pt>
                <c:pt idx="1">
                  <c:v>Male</c:v>
                </c:pt>
                <c:pt idx="2">
                  <c:v>Other</c:v>
                </c:pt>
              </c:strCache>
            </c:strRef>
          </c:cat>
          <c:val>
            <c:numRef>
              <c:f>'Pivot table'!$F$38:$F$40</c:f>
              <c:numCache>
                <c:formatCode>0.00</c:formatCode>
                <c:ptCount val="3"/>
                <c:pt idx="0">
                  <c:v>75.285714285714292</c:v>
                </c:pt>
                <c:pt idx="1">
                  <c:v>75.553398058252426</c:v>
                </c:pt>
                <c:pt idx="2">
                  <c:v>68.599999999999994</c:v>
                </c:pt>
              </c:numCache>
            </c:numRef>
          </c:val>
          <c:extLst>
            <c:ext xmlns:c16="http://schemas.microsoft.com/office/drawing/2014/chart" uri="{C3380CC4-5D6E-409C-BE32-E72D297353CC}">
              <c16:uniqueId val="{00000006-1B81-4ED1-A1A0-ECB1954AE248}"/>
            </c:ext>
          </c:extLst>
        </c:ser>
        <c:dLbls>
          <c:showLegendKey val="0"/>
          <c:showVal val="1"/>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3">
                <a:lumMod val="50000"/>
              </a:schemeClr>
            </a:solidFill>
            <a:ln>
              <a:noFill/>
            </a:ln>
            <a:effectLst/>
          </c:spPr>
          <c:invertIfNegative val="0"/>
          <c:cat>
            <c:strRef>
              <c:f>'Pivot table'!$E$21:$E$25</c:f>
              <c:strCache>
                <c:ptCount val="5"/>
                <c:pt idx="0">
                  <c:v>High Cost</c:v>
                </c:pt>
                <c:pt idx="1">
                  <c:v>Critical Cost</c:v>
                </c:pt>
                <c:pt idx="2">
                  <c:v>Very High Cost</c:v>
                </c:pt>
                <c:pt idx="3">
                  <c:v>Moderate Cost</c:v>
                </c:pt>
                <c:pt idx="4">
                  <c:v>Low Cost</c:v>
                </c:pt>
              </c:strCache>
            </c:strRef>
          </c:cat>
          <c:val>
            <c:numRef>
              <c:f>'Pivot table'!$F$21:$F$25</c:f>
              <c:numCache>
                <c:formatCode>General</c:formatCode>
                <c:ptCount val="5"/>
                <c:pt idx="0">
                  <c:v>17</c:v>
                </c:pt>
                <c:pt idx="1">
                  <c:v>31</c:v>
                </c:pt>
                <c:pt idx="2">
                  <c:v>33</c:v>
                </c:pt>
                <c:pt idx="3">
                  <c:v>134</c:v>
                </c:pt>
                <c:pt idx="4">
                  <c:v>185</c:v>
                </c:pt>
              </c:numCache>
            </c:numRef>
          </c:val>
          <c:extLst>
            <c:ext xmlns:c16="http://schemas.microsoft.com/office/drawing/2014/chart" uri="{C3380CC4-5D6E-409C-BE32-E72D297353CC}">
              <c16:uniqueId val="{00000000-6E38-4134-BAE1-10BD761B386B}"/>
            </c:ext>
          </c:extLst>
        </c:ser>
        <c:dLbls>
          <c:showLegendKey val="0"/>
          <c:showVal val="0"/>
          <c:showCatName val="0"/>
          <c:showSerName val="0"/>
          <c:showPercent val="0"/>
          <c:showBubbleSize val="0"/>
        </c:dLbls>
        <c:gapWidth val="182"/>
        <c:axId val="1428453376"/>
        <c:axId val="1748341200"/>
      </c:barChart>
      <c:catAx>
        <c:axId val="142845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NG"/>
          </a:p>
        </c:txPr>
        <c:crossAx val="1748341200"/>
        <c:crosses val="autoZero"/>
        <c:auto val="1"/>
        <c:lblAlgn val="ctr"/>
        <c:lblOffset val="100"/>
        <c:noMultiLvlLbl val="0"/>
      </c:catAx>
      <c:valAx>
        <c:axId val="174834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NG"/>
          </a:p>
        </c:txPr>
        <c:crossAx val="142845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E4D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table'!$E$45:$E$51</c:f>
              <c:strCache>
                <c:ptCount val="7"/>
                <c:pt idx="0">
                  <c:v>Teenager</c:v>
                </c:pt>
                <c:pt idx="1">
                  <c:v>Infant</c:v>
                </c:pt>
                <c:pt idx="2">
                  <c:v>Youth</c:v>
                </c:pt>
                <c:pt idx="3">
                  <c:v>Middle Age</c:v>
                </c:pt>
                <c:pt idx="4">
                  <c:v>Adult</c:v>
                </c:pt>
                <c:pt idx="5">
                  <c:v>Child</c:v>
                </c:pt>
                <c:pt idx="6">
                  <c:v>Elderly</c:v>
                </c:pt>
              </c:strCache>
            </c:strRef>
          </c:cat>
          <c:val>
            <c:numRef>
              <c:f>'Pivot table'!$F$45:$F$51</c:f>
              <c:numCache>
                <c:formatCode>0.00</c:formatCode>
                <c:ptCount val="7"/>
                <c:pt idx="0">
                  <c:v>73.933333333333337</c:v>
                </c:pt>
                <c:pt idx="1">
                  <c:v>74.235294117647058</c:v>
                </c:pt>
                <c:pt idx="2">
                  <c:v>74.578947368421055</c:v>
                </c:pt>
                <c:pt idx="3">
                  <c:v>74.891566265060234</c:v>
                </c:pt>
                <c:pt idx="4">
                  <c:v>75.537313432835816</c:v>
                </c:pt>
                <c:pt idx="5">
                  <c:v>76.023809523809518</c:v>
                </c:pt>
                <c:pt idx="6">
                  <c:v>76.032520325203251</c:v>
                </c:pt>
              </c:numCache>
            </c:numRef>
          </c:val>
          <c:extLst>
            <c:ext xmlns:c16="http://schemas.microsoft.com/office/drawing/2014/chart" uri="{C3380CC4-5D6E-409C-BE32-E72D297353CC}">
              <c16:uniqueId val="{00000000-FA0D-471B-8980-A39369987D62}"/>
            </c:ext>
          </c:extLst>
        </c:ser>
        <c:dLbls>
          <c:dLblPos val="outEnd"/>
          <c:showLegendKey val="0"/>
          <c:showVal val="1"/>
          <c:showCatName val="0"/>
          <c:showSerName val="0"/>
          <c:showPercent val="0"/>
          <c:showBubbleSize val="0"/>
        </c:dLbls>
        <c:gapWidth val="219"/>
        <c:overlap val="-27"/>
        <c:axId val="1428515552"/>
        <c:axId val="469565168"/>
      </c:barChart>
      <c:catAx>
        <c:axId val="14285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Segoe UI Black" panose="020B0A02040204020203" pitchFamily="34" charset="0"/>
                <a:cs typeface="Segoe UI" panose="020B0502040204020203" pitchFamily="34" charset="0"/>
              </a:defRPr>
            </a:pPr>
            <a:endParaRPr lang="en-NG"/>
          </a:p>
        </c:txPr>
        <c:crossAx val="469565168"/>
        <c:crosses val="autoZero"/>
        <c:auto val="1"/>
        <c:lblAlgn val="ctr"/>
        <c:lblOffset val="100"/>
        <c:noMultiLvlLbl val="0"/>
      </c:catAx>
      <c:valAx>
        <c:axId val="469565168"/>
        <c:scaling>
          <c:orientation val="minMax"/>
        </c:scaling>
        <c:delete val="1"/>
        <c:axPos val="l"/>
        <c:numFmt formatCode="0.00" sourceLinked="1"/>
        <c:majorTickMark val="none"/>
        <c:minorTickMark val="none"/>
        <c:tickLblPos val="nextTo"/>
        <c:crossAx val="1428515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0046A0E-9CB7-4085-BCDB-FDCC220EC5BB}">
          <cx:spPr>
            <a:solidFill>
              <a:srgbClr val="1E4D2B"/>
            </a:solidFill>
          </cx:spPr>
          <cx:dataLabels>
            <cx:txPr>
              <a:bodyPr spcFirstLastPara="1" vertOverflow="ellipsis" horzOverflow="overflow" wrap="square" lIns="0" tIns="0" rIns="0" bIns="0" anchor="ctr" anchorCtr="1"/>
              <a:lstStyle/>
              <a:p>
                <a:pPr algn="ctr" rtl="0">
                  <a:defRPr>
                    <a:solidFill>
                      <a:schemeClr val="bg1"/>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chemeClr val="bg1"/>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b="1">
                <a:solidFill>
                  <a:schemeClr val="tx1"/>
                </a:solidFill>
                <a:latin typeface="Segoe UI" panose="020B0502040204020203" pitchFamily="34" charset="0"/>
                <a:ea typeface="Segoe UI" panose="020B0502040204020203" pitchFamily="34" charset="0"/>
                <a:cs typeface="Segoe UI" panose="020B0502040204020203" pitchFamily="34" charset="0"/>
              </a:defRPr>
            </a:pPr>
            <a:endParaRPr lang="en-US" sz="800" b="1" i="0" u="none" strike="noStrike" baseline="0">
              <a:solidFill>
                <a:schemeClr val="tx1"/>
              </a:solidFill>
              <a:latin typeface="Segoe UI" panose="020B0502040204020203" pitchFamily="34" charset="0"/>
              <a:ea typeface="Segoe UI Black" panose="020B0A02040204020203" pitchFamily="34" charset="0"/>
              <a:cs typeface="Segoe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6.xml"/><Relationship Id="rId26" Type="http://schemas.openxmlformats.org/officeDocument/2006/relationships/image" Target="../media/image22.svg"/><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image" Target="../media/image21.pn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6.svg"/><Relationship Id="rId29" Type="http://schemas.openxmlformats.org/officeDocument/2006/relationships/image" Target="../media/image2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0.svg"/><Relationship Id="rId32" Type="http://schemas.microsoft.com/office/2014/relationships/chartEx" Target="../charts/chartEx1.xml"/><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9.png"/><Relationship Id="rId28" Type="http://schemas.openxmlformats.org/officeDocument/2006/relationships/image" Target="../media/image24.svg"/><Relationship Id="rId10" Type="http://schemas.openxmlformats.org/officeDocument/2006/relationships/image" Target="../media/image10.svg"/><Relationship Id="rId19" Type="http://schemas.openxmlformats.org/officeDocument/2006/relationships/image" Target="../media/image15.png"/><Relationship Id="rId31"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8.svg"/><Relationship Id="rId27" Type="http://schemas.openxmlformats.org/officeDocument/2006/relationships/image" Target="../media/image23.png"/><Relationship Id="rId30"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xdr:from>
      <xdr:col>16</xdr:col>
      <xdr:colOff>316705</xdr:colOff>
      <xdr:row>0</xdr:row>
      <xdr:rowOff>80962</xdr:rowOff>
    </xdr:from>
    <xdr:to>
      <xdr:col>21</xdr:col>
      <xdr:colOff>457200</xdr:colOff>
      <xdr:row>11</xdr:row>
      <xdr:rowOff>180974</xdr:rowOff>
    </xdr:to>
    <xdr:graphicFrame macro="">
      <xdr:nvGraphicFramePr>
        <xdr:cNvPr id="2" name="Chart 1">
          <a:extLst>
            <a:ext uri="{FF2B5EF4-FFF2-40B4-BE49-F238E27FC236}">
              <a16:creationId xmlns:a16="http://schemas.microsoft.com/office/drawing/2014/main" id="{5585E5A1-4BD5-4576-00F0-C4662A33D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561975</xdr:colOff>
      <xdr:row>0</xdr:row>
      <xdr:rowOff>57150</xdr:rowOff>
    </xdr:from>
    <xdr:to>
      <xdr:col>13</xdr:col>
      <xdr:colOff>94974</xdr:colOff>
      <xdr:row>8</xdr:row>
      <xdr:rowOff>27523</xdr:rowOff>
    </xdr:to>
    <xdr:graphicFrame macro="">
      <xdr:nvGraphicFramePr>
        <xdr:cNvPr id="3" name="Chart 2">
          <a:extLst>
            <a:ext uri="{FF2B5EF4-FFF2-40B4-BE49-F238E27FC236}">
              <a16:creationId xmlns:a16="http://schemas.microsoft.com/office/drawing/2014/main" id="{FFA039E5-2D9D-46C0-9D42-9A9F9A1D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28</xdr:col>
      <xdr:colOff>61625</xdr:colOff>
      <xdr:row>1</xdr:row>
      <xdr:rowOff>155849</xdr:rowOff>
    </xdr:from>
    <xdr:to>
      <xdr:col>31</xdr:col>
      <xdr:colOff>182803</xdr:colOff>
      <xdr:row>27</xdr:row>
      <xdr:rowOff>105832</xdr:rowOff>
    </xdr:to>
    <xdr:sp macro="" textlink="'Pivot table'!B3">
      <xdr:nvSpPr>
        <xdr:cNvPr id="141" name="Rectangle: Rounded Corners 61">
          <a:extLst>
            <a:ext uri="{FF2B5EF4-FFF2-40B4-BE49-F238E27FC236}">
              <a16:creationId xmlns:a16="http://schemas.microsoft.com/office/drawing/2014/main" id="{B945FCCE-6AC5-FFF4-1D41-7A0B6FF8CB5B}"/>
            </a:ext>
          </a:extLst>
        </xdr:cNvPr>
        <xdr:cNvSpPr/>
      </xdr:nvSpPr>
      <xdr:spPr>
        <a:xfrm>
          <a:off x="18245716" y="338652"/>
          <a:ext cx="2069474" cy="4702862"/>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9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0</xdr:colOff>
      <xdr:row>7</xdr:row>
      <xdr:rowOff>81673</xdr:rowOff>
    </xdr:from>
    <xdr:to>
      <xdr:col>4</xdr:col>
      <xdr:colOff>290512</xdr:colOff>
      <xdr:row>15</xdr:row>
      <xdr:rowOff>133350</xdr:rowOff>
    </xdr:to>
    <xdr:grpSp>
      <xdr:nvGrpSpPr>
        <xdr:cNvPr id="73" name="Group 72">
          <a:extLst>
            <a:ext uri="{FF2B5EF4-FFF2-40B4-BE49-F238E27FC236}">
              <a16:creationId xmlns:a16="http://schemas.microsoft.com/office/drawing/2014/main" id="{C28BB7FA-4920-6764-A3DE-A51AA225E299}"/>
            </a:ext>
          </a:extLst>
        </xdr:cNvPr>
        <xdr:cNvGrpSpPr/>
      </xdr:nvGrpSpPr>
      <xdr:grpSpPr>
        <a:xfrm>
          <a:off x="0" y="1340334"/>
          <a:ext cx="2875869" cy="1490147"/>
          <a:chOff x="-28929" y="590550"/>
          <a:chExt cx="2957867" cy="1490662"/>
        </a:xfrm>
      </xdr:grpSpPr>
      <xdr:sp macro="" textlink="">
        <xdr:nvSpPr>
          <xdr:cNvPr id="74" name="Rectangle: Rounded Corners 36">
            <a:extLst>
              <a:ext uri="{FF2B5EF4-FFF2-40B4-BE49-F238E27FC236}">
                <a16:creationId xmlns:a16="http://schemas.microsoft.com/office/drawing/2014/main" id="{6490A4C6-84BB-6C78-EDA5-3CC9DF8484DB}"/>
              </a:ext>
            </a:extLst>
          </xdr:cNvPr>
          <xdr:cNvSpPr/>
        </xdr:nvSpPr>
        <xdr:spPr>
          <a:xfrm>
            <a:off x="38101" y="590550"/>
            <a:ext cx="2890837" cy="1490662"/>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75" name="TextBox 74">
            <a:extLst>
              <a:ext uri="{FF2B5EF4-FFF2-40B4-BE49-F238E27FC236}">
                <a16:creationId xmlns:a16="http://schemas.microsoft.com/office/drawing/2014/main" id="{11C79095-CDF3-DB7E-D607-54754D3A91E8}"/>
              </a:ext>
            </a:extLst>
          </xdr:cNvPr>
          <xdr:cNvSpPr txBox="1"/>
        </xdr:nvSpPr>
        <xdr:spPr>
          <a:xfrm>
            <a:off x="-28929" y="646658"/>
            <a:ext cx="2935102" cy="1626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DEPT.</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PERFORMANCE BY AVG. RECOVERY SCORE</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0</xdr:col>
      <xdr:colOff>-55205</xdr:colOff>
      <xdr:row>0</xdr:row>
      <xdr:rowOff>0</xdr:rowOff>
    </xdr:from>
    <xdr:to>
      <xdr:col>20</xdr:col>
      <xdr:colOff>64588</xdr:colOff>
      <xdr:row>2</xdr:row>
      <xdr:rowOff>119064</xdr:rowOff>
    </xdr:to>
    <xdr:sp macro="" textlink="">
      <xdr:nvSpPr>
        <xdr:cNvPr id="2" name="Rectangle 1">
          <a:extLst>
            <a:ext uri="{FF2B5EF4-FFF2-40B4-BE49-F238E27FC236}">
              <a16:creationId xmlns:a16="http://schemas.microsoft.com/office/drawing/2014/main" id="{BFE882A1-1169-00D9-2E76-3F398FB8CDD4}"/>
            </a:ext>
          </a:extLst>
        </xdr:cNvPr>
        <xdr:cNvSpPr/>
      </xdr:nvSpPr>
      <xdr:spPr>
        <a:xfrm>
          <a:off x="-55205" y="0"/>
          <a:ext cx="13046579" cy="478681"/>
        </a:xfrm>
        <a:prstGeom prst="rect">
          <a:avLst/>
        </a:prstGeom>
        <a:solidFill>
          <a:srgbClr val="004D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xdr:col>
      <xdr:colOff>19051</xdr:colOff>
      <xdr:row>0</xdr:row>
      <xdr:rowOff>105737</xdr:rowOff>
    </xdr:from>
    <xdr:ext cx="3612956" cy="365228"/>
    <xdr:sp macro="" textlink="">
      <xdr:nvSpPr>
        <xdr:cNvPr id="3" name="TextBox 2">
          <a:extLst>
            <a:ext uri="{FF2B5EF4-FFF2-40B4-BE49-F238E27FC236}">
              <a16:creationId xmlns:a16="http://schemas.microsoft.com/office/drawing/2014/main" id="{5243DEDE-1204-2E42-2F52-22022FCC8E42}"/>
            </a:ext>
          </a:extLst>
        </xdr:cNvPr>
        <xdr:cNvSpPr txBox="1"/>
      </xdr:nvSpPr>
      <xdr:spPr>
        <a:xfrm>
          <a:off x="668483" y="105737"/>
          <a:ext cx="3612956" cy="3652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rgbClr val="FFFFFF"/>
              </a:solidFill>
              <a:latin typeface="Segoe UI" panose="020B0502040204020203" pitchFamily="34" charset="0"/>
              <a:ea typeface="Segoe UI Black" panose="020B0A02040204020203" pitchFamily="34" charset="0"/>
              <a:cs typeface="Segoe UI" panose="020B0502040204020203" pitchFamily="34" charset="0"/>
            </a:rPr>
            <a:t>GREEN VALLEY </a:t>
          </a:r>
          <a:r>
            <a:rPr lang="en-GB" sz="1600" baseline="0">
              <a:solidFill>
                <a:srgbClr val="FFFFFF"/>
              </a:solidFill>
              <a:latin typeface="Segoe UI" panose="020B0502040204020203" pitchFamily="34" charset="0"/>
              <a:ea typeface="Segoe UI Black" panose="020B0A02040204020203" pitchFamily="34" charset="0"/>
              <a:cs typeface="Segoe UI" panose="020B0502040204020203" pitchFamily="34" charset="0"/>
            </a:rPr>
            <a:t> </a:t>
          </a:r>
          <a:r>
            <a:rPr lang="en-GB" sz="1600">
              <a:solidFill>
                <a:srgbClr val="FFFFFF"/>
              </a:solidFill>
              <a:latin typeface="Segoe UI" panose="020B0502040204020203" pitchFamily="34" charset="0"/>
              <a:ea typeface="Segoe UI Black" panose="020B0A02040204020203" pitchFamily="34" charset="0"/>
              <a:cs typeface="Segoe UI" panose="020B0502040204020203" pitchFamily="34" charset="0"/>
            </a:rPr>
            <a:t>MEDICAL CENTER</a:t>
          </a:r>
        </a:p>
      </xdr:txBody>
    </xdr:sp>
    <xdr:clientData/>
  </xdr:oneCellAnchor>
  <xdr:twoCellAnchor editAs="oneCell">
    <xdr:from>
      <xdr:col>0</xdr:col>
      <xdr:colOff>71438</xdr:colOff>
      <xdr:row>0</xdr:row>
      <xdr:rowOff>0</xdr:rowOff>
    </xdr:from>
    <xdr:to>
      <xdr:col>1</xdr:col>
      <xdr:colOff>14288</xdr:colOff>
      <xdr:row>2</xdr:row>
      <xdr:rowOff>71438</xdr:rowOff>
    </xdr:to>
    <xdr:pic>
      <xdr:nvPicPr>
        <xdr:cNvPr id="5" name="Graphic 4" descr="Hospital with solid fill">
          <a:extLst>
            <a:ext uri="{FF2B5EF4-FFF2-40B4-BE49-F238E27FC236}">
              <a16:creationId xmlns:a16="http://schemas.microsoft.com/office/drawing/2014/main" id="{18B5DF58-5B9E-7037-348B-D66BDD2711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438" y="0"/>
          <a:ext cx="590550" cy="433388"/>
        </a:xfrm>
        <a:prstGeom prst="rect">
          <a:avLst/>
        </a:prstGeom>
        <a:effectLst>
          <a:innerShdw blurRad="63500" dist="50800" dir="13500000">
            <a:prstClr val="black">
              <a:alpha val="50000"/>
            </a:prstClr>
          </a:innerShdw>
        </a:effectLst>
      </xdr:spPr>
    </xdr:pic>
    <xdr:clientData/>
  </xdr:twoCellAnchor>
  <xdr:twoCellAnchor>
    <xdr:from>
      <xdr:col>7</xdr:col>
      <xdr:colOff>1348</xdr:colOff>
      <xdr:row>0</xdr:row>
      <xdr:rowOff>0</xdr:rowOff>
    </xdr:from>
    <xdr:to>
      <xdr:col>7</xdr:col>
      <xdr:colOff>1348</xdr:colOff>
      <xdr:row>3</xdr:row>
      <xdr:rowOff>19050</xdr:rowOff>
    </xdr:to>
    <xdr:cxnSp macro="">
      <xdr:nvCxnSpPr>
        <xdr:cNvPr id="7" name="Straight Connector 6">
          <a:extLst>
            <a:ext uri="{FF2B5EF4-FFF2-40B4-BE49-F238E27FC236}">
              <a16:creationId xmlns:a16="http://schemas.microsoft.com/office/drawing/2014/main" id="{9C8DF209-2F6B-D7A4-48D3-C10FABE6090F}"/>
            </a:ext>
          </a:extLst>
        </xdr:cNvPr>
        <xdr:cNvCxnSpPr/>
      </xdr:nvCxnSpPr>
      <xdr:spPr>
        <a:xfrm>
          <a:off x="4547371" y="0"/>
          <a:ext cx="0" cy="567459"/>
        </a:xfrm>
        <a:prstGeom prst="line">
          <a:avLst/>
        </a:prstGeom>
        <a:ln>
          <a:solidFill>
            <a:srgbClr val="4D826E"/>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374795</xdr:colOff>
      <xdr:row>0</xdr:row>
      <xdr:rowOff>0</xdr:rowOff>
    </xdr:from>
    <xdr:ext cx="4191000" cy="495492"/>
    <xdr:sp macro="" textlink="">
      <xdr:nvSpPr>
        <xdr:cNvPr id="9" name="TextBox 8">
          <a:extLst>
            <a:ext uri="{FF2B5EF4-FFF2-40B4-BE49-F238E27FC236}">
              <a16:creationId xmlns:a16="http://schemas.microsoft.com/office/drawing/2014/main" id="{7D0E57C1-E24C-3CEE-E459-8C2DF3D2F3D8}"/>
            </a:ext>
          </a:extLst>
        </xdr:cNvPr>
        <xdr:cNvSpPr txBox="1"/>
      </xdr:nvSpPr>
      <xdr:spPr>
        <a:xfrm>
          <a:off x="4920818" y="0"/>
          <a:ext cx="4191000" cy="4954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200">
              <a:solidFill>
                <a:schemeClr val="bg1"/>
              </a:solidFill>
              <a:latin typeface="Segoe UI" panose="020B0502040204020203" pitchFamily="34" charset="0"/>
              <a:ea typeface="Segoe UI Black" panose="020B0A02040204020203" pitchFamily="34" charset="0"/>
              <a:cs typeface="Segoe UI" panose="020B0502040204020203" pitchFamily="34" charset="0"/>
            </a:rPr>
            <a:t>Hospital Performance</a:t>
          </a:r>
          <a:r>
            <a:rPr lang="en-GB" sz="12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Dashboard</a:t>
          </a:r>
        </a:p>
        <a:p>
          <a:r>
            <a:rPr lang="en-GB" sz="10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Overview of Patient Outcomes, Cost &amp; Operational Performance</a:t>
          </a:r>
          <a:endParaRPr lang="en-NG" sz="10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oneCellAnchor>
  <xdr:twoCellAnchor>
    <xdr:from>
      <xdr:col>0</xdr:col>
      <xdr:colOff>42863</xdr:colOff>
      <xdr:row>2</xdr:row>
      <xdr:rowOff>147638</xdr:rowOff>
    </xdr:from>
    <xdr:to>
      <xdr:col>2</xdr:col>
      <xdr:colOff>471488</xdr:colOff>
      <xdr:row>7</xdr:row>
      <xdr:rowOff>71438</xdr:rowOff>
    </xdr:to>
    <xdr:grpSp>
      <xdr:nvGrpSpPr>
        <xdr:cNvPr id="35" name="Group 34">
          <a:extLst>
            <a:ext uri="{FF2B5EF4-FFF2-40B4-BE49-F238E27FC236}">
              <a16:creationId xmlns:a16="http://schemas.microsoft.com/office/drawing/2014/main" id="{BFA4C23A-528D-1D30-C097-0711BABCC3CB}"/>
            </a:ext>
          </a:extLst>
        </xdr:cNvPr>
        <xdr:cNvGrpSpPr/>
      </xdr:nvGrpSpPr>
      <xdr:grpSpPr>
        <a:xfrm>
          <a:off x="42863" y="507255"/>
          <a:ext cx="1721304" cy="822844"/>
          <a:chOff x="57151" y="638175"/>
          <a:chExt cx="1724025" cy="828675"/>
        </a:xfrm>
      </xdr:grpSpPr>
      <xdr:sp macro="" textlink="'Pivot table'!B3">
        <xdr:nvSpPr>
          <xdr:cNvPr id="28" name="Rectangle: Rounded Corners 27">
            <a:extLst>
              <a:ext uri="{FF2B5EF4-FFF2-40B4-BE49-F238E27FC236}">
                <a16:creationId xmlns:a16="http://schemas.microsoft.com/office/drawing/2014/main" id="{D78A2169-7DDE-E421-9E68-8520CD5E157E}"/>
              </a:ext>
            </a:extLst>
          </xdr:cNvPr>
          <xdr:cNvSpPr/>
        </xdr:nvSpPr>
        <xdr:spPr>
          <a:xfrm>
            <a:off x="57151" y="638175"/>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011DE7-5612-4E4F-8B5B-197C7FFAE2C3}" type="TxLink">
              <a:rPr lang="en-US" sz="1100" b="1" i="0" u="none" strike="noStrike">
                <a:solidFill>
                  <a:schemeClr val="tx1"/>
                </a:solidFill>
                <a:latin typeface="Segoe UI Black" panose="020B0A02040204020203" pitchFamily="34" charset="0"/>
                <a:ea typeface="Segoe UI Black" panose="020B0A02040204020203" pitchFamily="34" charset="0"/>
                <a:cs typeface="Segoe UI" panose="020B0502040204020203" pitchFamily="34" charset="0"/>
              </a:rPr>
              <a:pPr algn="ctr"/>
              <a:t>400</a:t>
            </a:fld>
            <a:endParaRPr lang="en-NG" sz="11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29" name="TextBox 28">
            <a:extLst>
              <a:ext uri="{FF2B5EF4-FFF2-40B4-BE49-F238E27FC236}">
                <a16:creationId xmlns:a16="http://schemas.microsoft.com/office/drawing/2014/main" id="{6D535718-E2AA-E3FA-093D-570855DBEC13}"/>
              </a:ext>
            </a:extLst>
          </xdr:cNvPr>
          <xdr:cNvSpPr txBox="1"/>
        </xdr:nvSpPr>
        <xdr:spPr>
          <a:xfrm>
            <a:off x="57151" y="647700"/>
            <a:ext cx="1709737" cy="2095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TOTAL PATIENTS</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31" name="Graphic 30" descr="Users with solid fill">
            <a:extLst>
              <a:ext uri="{FF2B5EF4-FFF2-40B4-BE49-F238E27FC236}">
                <a16:creationId xmlns:a16="http://schemas.microsoft.com/office/drawing/2014/main" id="{F917FABA-FEC8-1113-4E57-3F368E9B4B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19062" y="773905"/>
            <a:ext cx="390525" cy="564357"/>
          </a:xfrm>
          <a:prstGeom prst="rect">
            <a:avLst/>
          </a:prstGeom>
        </xdr:spPr>
      </xdr:pic>
    </xdr:grpSp>
    <xdr:clientData/>
  </xdr:twoCellAnchor>
  <xdr:twoCellAnchor>
    <xdr:from>
      <xdr:col>2</xdr:col>
      <xdr:colOff>490249</xdr:colOff>
      <xdr:row>2</xdr:row>
      <xdr:rowOff>142779</xdr:rowOff>
    </xdr:from>
    <xdr:to>
      <xdr:col>5</xdr:col>
      <xdr:colOff>281068</xdr:colOff>
      <xdr:row>7</xdr:row>
      <xdr:rowOff>66579</xdr:rowOff>
    </xdr:to>
    <xdr:grpSp>
      <xdr:nvGrpSpPr>
        <xdr:cNvPr id="36" name="Group 35">
          <a:extLst>
            <a:ext uri="{FF2B5EF4-FFF2-40B4-BE49-F238E27FC236}">
              <a16:creationId xmlns:a16="http://schemas.microsoft.com/office/drawing/2014/main" id="{2797E214-3346-3D14-ADDF-6314C92B66EF}"/>
            </a:ext>
          </a:extLst>
        </xdr:cNvPr>
        <xdr:cNvGrpSpPr/>
      </xdr:nvGrpSpPr>
      <xdr:grpSpPr>
        <a:xfrm>
          <a:off x="1782928" y="502396"/>
          <a:ext cx="1729837" cy="822844"/>
          <a:chOff x="38101" y="590550"/>
          <a:chExt cx="1733919" cy="828675"/>
        </a:xfrm>
      </xdr:grpSpPr>
      <xdr:sp macro="" textlink="'Pivot table'!C3">
        <xdr:nvSpPr>
          <xdr:cNvPr id="37" name="Rectangle: Rounded Corners 36">
            <a:extLst>
              <a:ext uri="{FF2B5EF4-FFF2-40B4-BE49-F238E27FC236}">
                <a16:creationId xmlns:a16="http://schemas.microsoft.com/office/drawing/2014/main" id="{A5346293-AA28-3636-3BC4-4606209A05CD}"/>
              </a:ext>
            </a:extLst>
          </xdr:cNvPr>
          <xdr:cNvSpPr/>
        </xdr:nvSpPr>
        <xdr:spPr>
          <a:xfrm>
            <a:off x="38101" y="590550"/>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A394FA-DD8E-4422-86B7-DFF14E411704}" type="TxLink">
              <a:rPr lang="en-US" sz="1100" b="1" i="0" u="none" strike="noStrike">
                <a:solidFill>
                  <a:schemeClr val="tx1"/>
                </a:solidFill>
                <a:latin typeface="Segoe UI Black" panose="020B0A02040204020203" pitchFamily="34" charset="0"/>
                <a:ea typeface="Segoe UI Black" panose="020B0A02040204020203" pitchFamily="34" charset="0"/>
                <a:cs typeface="Segoe UI" panose="020B0502040204020203" pitchFamily="34" charset="0"/>
              </a:rPr>
              <a:pPr algn="ctr"/>
              <a:t>£5,051.53</a:t>
            </a:fld>
            <a:endParaRPr lang="en-NG" sz="11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38" name="TextBox 37">
            <a:extLst>
              <a:ext uri="{FF2B5EF4-FFF2-40B4-BE49-F238E27FC236}">
                <a16:creationId xmlns:a16="http://schemas.microsoft.com/office/drawing/2014/main" id="{52C3AD8F-401D-CBE2-2714-61E20A127521}"/>
              </a:ext>
            </a:extLst>
          </xdr:cNvPr>
          <xdr:cNvSpPr txBox="1"/>
        </xdr:nvSpPr>
        <xdr:spPr>
          <a:xfrm>
            <a:off x="47626" y="600076"/>
            <a:ext cx="1724394" cy="2458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AVG.</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TREATMENT COST</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39" name="Graphic 38" descr="Money with solid fill">
            <a:extLst>
              <a:ext uri="{FF2B5EF4-FFF2-40B4-BE49-F238E27FC236}">
                <a16:creationId xmlns:a16="http://schemas.microsoft.com/office/drawing/2014/main" id="{512BC544-47DC-1B88-41B5-46630529D1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47637" y="813196"/>
            <a:ext cx="390525" cy="390525"/>
          </a:xfrm>
          <a:prstGeom prst="rect">
            <a:avLst/>
          </a:prstGeom>
        </xdr:spPr>
      </xdr:pic>
    </xdr:grpSp>
    <xdr:clientData/>
  </xdr:twoCellAnchor>
  <xdr:twoCellAnchor>
    <xdr:from>
      <xdr:col>8</xdr:col>
      <xdr:colOff>152400</xdr:colOff>
      <xdr:row>2</xdr:row>
      <xdr:rowOff>123825</xdr:rowOff>
    </xdr:from>
    <xdr:to>
      <xdr:col>10</xdr:col>
      <xdr:colOff>581025</xdr:colOff>
      <xdr:row>7</xdr:row>
      <xdr:rowOff>61912</xdr:rowOff>
    </xdr:to>
    <xdr:grpSp>
      <xdr:nvGrpSpPr>
        <xdr:cNvPr id="46" name="Group 45">
          <a:extLst>
            <a:ext uri="{FF2B5EF4-FFF2-40B4-BE49-F238E27FC236}">
              <a16:creationId xmlns:a16="http://schemas.microsoft.com/office/drawing/2014/main" id="{0EA0C3E9-0B5A-B9C5-75F8-2968A6983C77}"/>
            </a:ext>
          </a:extLst>
        </xdr:cNvPr>
        <xdr:cNvGrpSpPr/>
      </xdr:nvGrpSpPr>
      <xdr:grpSpPr>
        <a:xfrm>
          <a:off x="5323114" y="483442"/>
          <a:ext cx="1721304" cy="837131"/>
          <a:chOff x="57151" y="623888"/>
          <a:chExt cx="1724025" cy="842962"/>
        </a:xfrm>
      </xdr:grpSpPr>
      <xdr:sp macro="" textlink="'Pivot table'!D3">
        <xdr:nvSpPr>
          <xdr:cNvPr id="47" name="Rectangle: Rounded Corners 46">
            <a:extLst>
              <a:ext uri="{FF2B5EF4-FFF2-40B4-BE49-F238E27FC236}">
                <a16:creationId xmlns:a16="http://schemas.microsoft.com/office/drawing/2014/main" id="{FC48FD16-F886-B932-7D20-BAB01E979E6B}"/>
              </a:ext>
            </a:extLst>
          </xdr:cNvPr>
          <xdr:cNvSpPr/>
        </xdr:nvSpPr>
        <xdr:spPr>
          <a:xfrm>
            <a:off x="57151" y="638175"/>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C735AD-BA02-4F9E-AE3A-55781DC93E3E}" type="TxLink">
              <a:rPr lang="en-US" sz="1100" b="1" i="0" u="none" strike="noStrike">
                <a:solidFill>
                  <a:schemeClr val="tx1"/>
                </a:solidFill>
                <a:latin typeface="Segoe UI Black" panose="020B0A02040204020203" pitchFamily="34" charset="0"/>
                <a:ea typeface="Segoe UI Black" panose="020B0A02040204020203" pitchFamily="34" charset="0"/>
                <a:cs typeface="Segoe UI" panose="020B0502040204020203" pitchFamily="34" charset="0"/>
              </a:rPr>
              <a:pPr algn="ctr"/>
              <a:t>45</a:t>
            </a:fld>
            <a:endParaRPr lang="en-NG" sz="11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48" name="TextBox 47">
            <a:extLst>
              <a:ext uri="{FF2B5EF4-FFF2-40B4-BE49-F238E27FC236}">
                <a16:creationId xmlns:a16="http://schemas.microsoft.com/office/drawing/2014/main" id="{3D529059-2F92-C306-5AAE-84436610D47F}"/>
              </a:ext>
            </a:extLst>
          </xdr:cNvPr>
          <xdr:cNvSpPr txBox="1"/>
        </xdr:nvSpPr>
        <xdr:spPr>
          <a:xfrm>
            <a:off x="519113" y="623888"/>
            <a:ext cx="1025082" cy="2432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AVERAGE</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AGE</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10</xdr:col>
      <xdr:colOff>575734</xdr:colOff>
      <xdr:row>2</xdr:row>
      <xdr:rowOff>138016</xdr:rowOff>
    </xdr:from>
    <xdr:to>
      <xdr:col>13</xdr:col>
      <xdr:colOff>406514</xdr:colOff>
      <xdr:row>7</xdr:row>
      <xdr:rowOff>61816</xdr:rowOff>
    </xdr:to>
    <xdr:grpSp>
      <xdr:nvGrpSpPr>
        <xdr:cNvPr id="51" name="Group 50">
          <a:extLst>
            <a:ext uri="{FF2B5EF4-FFF2-40B4-BE49-F238E27FC236}">
              <a16:creationId xmlns:a16="http://schemas.microsoft.com/office/drawing/2014/main" id="{4AC9F045-B9A2-9125-37E7-B175DD1B0D0F}"/>
            </a:ext>
          </a:extLst>
        </xdr:cNvPr>
        <xdr:cNvGrpSpPr/>
      </xdr:nvGrpSpPr>
      <xdr:grpSpPr>
        <a:xfrm>
          <a:off x="7039127" y="497633"/>
          <a:ext cx="1769798" cy="822844"/>
          <a:chOff x="57151" y="633413"/>
          <a:chExt cx="1733550" cy="828675"/>
        </a:xfrm>
      </xdr:grpSpPr>
      <xdr:sp macro="" textlink="'Pivot table'!E3">
        <xdr:nvSpPr>
          <xdr:cNvPr id="52" name="Rectangle: Rounded Corners 51">
            <a:extLst>
              <a:ext uri="{FF2B5EF4-FFF2-40B4-BE49-F238E27FC236}">
                <a16:creationId xmlns:a16="http://schemas.microsoft.com/office/drawing/2014/main" id="{464BAE2A-AA88-FA9C-7EDF-748F45D6A08E}"/>
              </a:ext>
            </a:extLst>
          </xdr:cNvPr>
          <xdr:cNvSpPr/>
        </xdr:nvSpPr>
        <xdr:spPr>
          <a:xfrm>
            <a:off x="66676" y="633413"/>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5A0E0-63B7-4515-A37B-EF75D912FD63}" type="TxLink">
              <a:rPr lang="en-US" sz="1100" b="1" i="0" u="none" strike="noStrike">
                <a:solidFill>
                  <a:schemeClr val="tx1"/>
                </a:solidFill>
                <a:latin typeface="Segoe UI Black" panose="020B0A02040204020203" pitchFamily="34" charset="0"/>
                <a:ea typeface="Segoe UI Black" panose="020B0A02040204020203" pitchFamily="34" charset="0"/>
                <a:cs typeface="Segoe UI" panose="020B0502040204020203" pitchFamily="34" charset="0"/>
              </a:rPr>
              <a:pPr algn="ctr"/>
              <a:t>5</a:t>
            </a:fld>
            <a:endParaRPr lang="en-NG" sz="11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53" name="TextBox 52">
            <a:extLst>
              <a:ext uri="{FF2B5EF4-FFF2-40B4-BE49-F238E27FC236}">
                <a16:creationId xmlns:a16="http://schemas.microsoft.com/office/drawing/2014/main" id="{FCE266D4-824B-CC48-7402-83BEF40BB859}"/>
              </a:ext>
            </a:extLst>
          </xdr:cNvPr>
          <xdr:cNvSpPr txBox="1"/>
        </xdr:nvSpPr>
        <xdr:spPr>
          <a:xfrm>
            <a:off x="57151" y="642938"/>
            <a:ext cx="1731926" cy="2431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AVG.</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HOSPITAL STAY (DAYS)</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54" name="Graphic 53" descr="Monthly calendar with solid fill">
            <a:extLst>
              <a:ext uri="{FF2B5EF4-FFF2-40B4-BE49-F238E27FC236}">
                <a16:creationId xmlns:a16="http://schemas.microsoft.com/office/drawing/2014/main" id="{503B9228-BEA0-8329-E387-6A81BD67BD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83652" y="870316"/>
            <a:ext cx="404671" cy="410767"/>
          </a:xfrm>
          <a:prstGeom prst="rect">
            <a:avLst/>
          </a:prstGeom>
        </xdr:spPr>
      </xdr:pic>
    </xdr:grpSp>
    <xdr:clientData/>
  </xdr:twoCellAnchor>
  <xdr:twoCellAnchor>
    <xdr:from>
      <xdr:col>13</xdr:col>
      <xdr:colOff>414337</xdr:colOff>
      <xdr:row>2</xdr:row>
      <xdr:rowOff>128830</xdr:rowOff>
    </xdr:from>
    <xdr:to>
      <xdr:col>16</xdr:col>
      <xdr:colOff>308921</xdr:colOff>
      <xdr:row>7</xdr:row>
      <xdr:rowOff>47626</xdr:rowOff>
    </xdr:to>
    <xdr:grpSp>
      <xdr:nvGrpSpPr>
        <xdr:cNvPr id="61" name="Group 60">
          <a:extLst>
            <a:ext uri="{FF2B5EF4-FFF2-40B4-BE49-F238E27FC236}">
              <a16:creationId xmlns:a16="http://schemas.microsoft.com/office/drawing/2014/main" id="{E578E043-FE48-864E-560F-CC3B78C0913D}"/>
            </a:ext>
          </a:extLst>
        </xdr:cNvPr>
        <xdr:cNvGrpSpPr/>
      </xdr:nvGrpSpPr>
      <xdr:grpSpPr>
        <a:xfrm>
          <a:off x="8816748" y="488447"/>
          <a:ext cx="1833602" cy="817840"/>
          <a:chOff x="29362" y="595313"/>
          <a:chExt cx="1724025" cy="833185"/>
        </a:xfrm>
      </xdr:grpSpPr>
      <xdr:sp macro="" textlink="'Pivot table'!B3">
        <xdr:nvSpPr>
          <xdr:cNvPr id="62" name="Rectangle: Rounded Corners 61">
            <a:extLst>
              <a:ext uri="{FF2B5EF4-FFF2-40B4-BE49-F238E27FC236}">
                <a16:creationId xmlns:a16="http://schemas.microsoft.com/office/drawing/2014/main" id="{17A266EC-4592-9550-CF5F-E08CE871EF41}"/>
              </a:ext>
            </a:extLst>
          </xdr:cNvPr>
          <xdr:cNvSpPr/>
        </xdr:nvSpPr>
        <xdr:spPr>
          <a:xfrm>
            <a:off x="29362" y="599823"/>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a:solidFill>
                  <a:schemeClr val="tx1"/>
                </a:solidFill>
                <a:latin typeface="Segoe UI Black" panose="020B0A02040204020203" pitchFamily="34" charset="0"/>
                <a:ea typeface="Segoe UI Black" panose="020B0A02040204020203" pitchFamily="34" charset="0"/>
                <a:cs typeface="Segoe UI" panose="020B0502040204020203" pitchFamily="34" charset="0"/>
              </a:rPr>
              <a:t>DR.</a:t>
            </a:r>
            <a:r>
              <a:rPr lang="en-GB" sz="900" b="1" baseline="0">
                <a:solidFill>
                  <a:schemeClr val="tx1"/>
                </a:solidFill>
                <a:latin typeface="Segoe UI Black" panose="020B0A02040204020203" pitchFamily="34" charset="0"/>
                <a:ea typeface="Segoe UI Black" panose="020B0A02040204020203" pitchFamily="34" charset="0"/>
                <a:cs typeface="Segoe UI" panose="020B0502040204020203" pitchFamily="34" charset="0"/>
              </a:rPr>
              <a:t>  JOHNSON</a:t>
            </a:r>
            <a:endParaRPr lang="en-NG" sz="9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63" name="TextBox 62">
            <a:extLst>
              <a:ext uri="{FF2B5EF4-FFF2-40B4-BE49-F238E27FC236}">
                <a16:creationId xmlns:a16="http://schemas.microsoft.com/office/drawing/2014/main" id="{1BFF2261-1F83-947D-63FB-3B50674C612A}"/>
              </a:ext>
            </a:extLst>
          </xdr:cNvPr>
          <xdr:cNvSpPr txBox="1"/>
        </xdr:nvSpPr>
        <xdr:spPr>
          <a:xfrm>
            <a:off x="104776" y="595313"/>
            <a:ext cx="1629787" cy="2459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BEST</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 PERFORMING DOCTOR</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64" name="Graphic 63" descr="Wreath with solid fill">
            <a:extLst>
              <a:ext uri="{FF2B5EF4-FFF2-40B4-BE49-F238E27FC236}">
                <a16:creationId xmlns:a16="http://schemas.microsoft.com/office/drawing/2014/main" id="{338AF847-F30C-03EC-350B-4BBC208908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3504" y="880386"/>
            <a:ext cx="365339" cy="390700"/>
          </a:xfrm>
          <a:prstGeom prst="rect">
            <a:avLst/>
          </a:prstGeom>
        </xdr:spPr>
      </xdr:pic>
    </xdr:grpSp>
    <xdr:clientData/>
  </xdr:twoCellAnchor>
  <xdr:twoCellAnchor editAs="oneCell">
    <xdr:from>
      <xdr:col>8</xdr:col>
      <xdr:colOff>189346</xdr:colOff>
      <xdr:row>3</xdr:row>
      <xdr:rowOff>115249</xdr:rowOff>
    </xdr:from>
    <xdr:to>
      <xdr:col>8</xdr:col>
      <xdr:colOff>638753</xdr:colOff>
      <xdr:row>6</xdr:row>
      <xdr:rowOff>16247</xdr:rowOff>
    </xdr:to>
    <xdr:pic>
      <xdr:nvPicPr>
        <xdr:cNvPr id="67" name="Graphic 66" descr="Male profile with solid fill">
          <a:extLst>
            <a:ext uri="{FF2B5EF4-FFF2-40B4-BE49-F238E27FC236}">
              <a16:creationId xmlns:a16="http://schemas.microsoft.com/office/drawing/2014/main" id="{440F3C60-046B-4713-A631-FFCC8EF6311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5384801" y="663658"/>
          <a:ext cx="449407" cy="449407"/>
        </a:xfrm>
        <a:prstGeom prst="rect">
          <a:avLst/>
        </a:prstGeom>
      </xdr:spPr>
    </xdr:pic>
    <xdr:clientData/>
  </xdr:twoCellAnchor>
  <xdr:twoCellAnchor>
    <xdr:from>
      <xdr:col>5</xdr:col>
      <xdr:colOff>323851</xdr:colOff>
      <xdr:row>2</xdr:row>
      <xdr:rowOff>138114</xdr:rowOff>
    </xdr:from>
    <xdr:to>
      <xdr:col>8</xdr:col>
      <xdr:colOff>114670</xdr:colOff>
      <xdr:row>7</xdr:row>
      <xdr:rowOff>61914</xdr:rowOff>
    </xdr:to>
    <xdr:grpSp>
      <xdr:nvGrpSpPr>
        <xdr:cNvPr id="68" name="Group 67">
          <a:extLst>
            <a:ext uri="{FF2B5EF4-FFF2-40B4-BE49-F238E27FC236}">
              <a16:creationId xmlns:a16="http://schemas.microsoft.com/office/drawing/2014/main" id="{16224F04-A01C-3ED6-0341-781C8BC2092C}"/>
            </a:ext>
          </a:extLst>
        </xdr:cNvPr>
        <xdr:cNvGrpSpPr/>
      </xdr:nvGrpSpPr>
      <xdr:grpSpPr>
        <a:xfrm>
          <a:off x="3555548" y="497731"/>
          <a:ext cx="1729836" cy="822844"/>
          <a:chOff x="38101" y="590550"/>
          <a:chExt cx="1733919" cy="828675"/>
        </a:xfrm>
      </xdr:grpSpPr>
      <xdr:sp macro="" textlink="'Pivot table'!F3">
        <xdr:nvSpPr>
          <xdr:cNvPr id="69" name="Rectangle: Rounded Corners 36">
            <a:extLst>
              <a:ext uri="{FF2B5EF4-FFF2-40B4-BE49-F238E27FC236}">
                <a16:creationId xmlns:a16="http://schemas.microsoft.com/office/drawing/2014/main" id="{CFB50DD8-B3A1-8EE7-E034-20FEFEA71B8E}"/>
              </a:ext>
            </a:extLst>
          </xdr:cNvPr>
          <xdr:cNvSpPr/>
        </xdr:nvSpPr>
        <xdr:spPr>
          <a:xfrm>
            <a:off x="38101" y="590550"/>
            <a:ext cx="1724025" cy="828675"/>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80441E-2526-4625-A4EB-CA84F338F237}" type="TxLink">
              <a:rPr lang="en-US" sz="1100" b="1" i="0" u="none" strike="noStrike">
                <a:solidFill>
                  <a:schemeClr val="tx1"/>
                </a:solidFill>
                <a:latin typeface="Segoe UI Black" panose="020B0A02040204020203" pitchFamily="34" charset="0"/>
                <a:ea typeface="Segoe UI Black" panose="020B0A02040204020203" pitchFamily="34" charset="0"/>
                <a:cs typeface="Segoe UI" panose="020B0502040204020203" pitchFamily="34" charset="0"/>
              </a:rPr>
              <a:pPr algn="ctr"/>
              <a:t>75.34</a:t>
            </a:fld>
            <a:endParaRPr lang="en-NG" sz="11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70" name="TextBox 69">
            <a:extLst>
              <a:ext uri="{FF2B5EF4-FFF2-40B4-BE49-F238E27FC236}">
                <a16:creationId xmlns:a16="http://schemas.microsoft.com/office/drawing/2014/main" id="{847B3D38-53E1-A2E7-64FE-1E5089A9C250}"/>
              </a:ext>
            </a:extLst>
          </xdr:cNvPr>
          <xdr:cNvSpPr txBox="1"/>
        </xdr:nvSpPr>
        <xdr:spPr>
          <a:xfrm>
            <a:off x="61913" y="600076"/>
            <a:ext cx="1710107" cy="2458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900" b="1">
                <a:solidFill>
                  <a:schemeClr val="tx1"/>
                </a:solidFill>
                <a:latin typeface="Segoe UI" panose="020B0502040204020203" pitchFamily="34" charset="0"/>
                <a:ea typeface="Segoe UI Black" panose="020B0A02040204020203" pitchFamily="34" charset="0"/>
                <a:cs typeface="Segoe UI" panose="020B0502040204020203" pitchFamily="34" charset="0"/>
              </a:rPr>
              <a:t>AVG. RECOVERY SCORE</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pic>
        <xdr:nvPicPr>
          <xdr:cNvPr id="71" name="Graphic 70" descr="Heart with pulse outline">
            <a:extLst>
              <a:ext uri="{FF2B5EF4-FFF2-40B4-BE49-F238E27FC236}">
                <a16:creationId xmlns:a16="http://schemas.microsoft.com/office/drawing/2014/main" id="{F0DECDDB-15DE-B643-83AE-9865750B1F0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76201" y="813196"/>
            <a:ext cx="461962" cy="448866"/>
          </a:xfrm>
          <a:prstGeom prst="rect">
            <a:avLst/>
          </a:prstGeom>
          <a:scene3d>
            <a:camera prst="orthographicFront"/>
            <a:lightRig rig="threePt" dir="t"/>
          </a:scene3d>
          <a:sp3d>
            <a:bevelT/>
          </a:sp3d>
        </xdr:spPr>
      </xdr:pic>
    </xdr:grpSp>
    <xdr:clientData/>
  </xdr:twoCellAnchor>
  <xdr:twoCellAnchor>
    <xdr:from>
      <xdr:col>0</xdr:col>
      <xdr:colOff>52389</xdr:colOff>
      <xdr:row>8</xdr:row>
      <xdr:rowOff>104775</xdr:rowOff>
    </xdr:from>
    <xdr:to>
      <xdr:col>4</xdr:col>
      <xdr:colOff>309563</xdr:colOff>
      <xdr:row>15</xdr:row>
      <xdr:rowOff>128587</xdr:rowOff>
    </xdr:to>
    <xdr:graphicFrame macro="">
      <xdr:nvGraphicFramePr>
        <xdr:cNvPr id="78" name="Chart 77">
          <a:extLst>
            <a:ext uri="{FF2B5EF4-FFF2-40B4-BE49-F238E27FC236}">
              <a16:creationId xmlns:a16="http://schemas.microsoft.com/office/drawing/2014/main" id="{CB884BFB-E99C-4FA0-B2D4-6FEEBE4F2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322579</xdr:colOff>
      <xdr:row>7</xdr:row>
      <xdr:rowOff>80964</xdr:rowOff>
    </xdr:from>
    <xdr:to>
      <xdr:col>10</xdr:col>
      <xdr:colOff>609600</xdr:colOff>
      <xdr:row>15</xdr:row>
      <xdr:rowOff>138111</xdr:rowOff>
    </xdr:to>
    <xdr:grpSp>
      <xdr:nvGrpSpPr>
        <xdr:cNvPr id="79" name="Group 78">
          <a:extLst>
            <a:ext uri="{FF2B5EF4-FFF2-40B4-BE49-F238E27FC236}">
              <a16:creationId xmlns:a16="http://schemas.microsoft.com/office/drawing/2014/main" id="{E7147FFE-BCA0-B960-0AFB-EFBF6F946C36}"/>
            </a:ext>
          </a:extLst>
        </xdr:cNvPr>
        <xdr:cNvGrpSpPr/>
      </xdr:nvGrpSpPr>
      <xdr:grpSpPr>
        <a:xfrm>
          <a:off x="2907936" y="1339625"/>
          <a:ext cx="4165057" cy="1495617"/>
          <a:chOff x="42981" y="580494"/>
          <a:chExt cx="2890837" cy="1515100"/>
        </a:xfrm>
      </xdr:grpSpPr>
      <xdr:sp macro="" textlink="">
        <xdr:nvSpPr>
          <xdr:cNvPr id="80" name="Rectangle: Rounded Corners 36">
            <a:extLst>
              <a:ext uri="{FF2B5EF4-FFF2-40B4-BE49-F238E27FC236}">
                <a16:creationId xmlns:a16="http://schemas.microsoft.com/office/drawing/2014/main" id="{4F47A268-972A-E338-0709-C50570F78D72}"/>
              </a:ext>
            </a:extLst>
          </xdr:cNvPr>
          <xdr:cNvSpPr/>
        </xdr:nvSpPr>
        <xdr:spPr>
          <a:xfrm>
            <a:off x="42981" y="595343"/>
            <a:ext cx="2890837" cy="1500251"/>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81" name="TextBox 80">
            <a:extLst>
              <a:ext uri="{FF2B5EF4-FFF2-40B4-BE49-F238E27FC236}">
                <a16:creationId xmlns:a16="http://schemas.microsoft.com/office/drawing/2014/main" id="{3B2C3DE3-2641-3EA1-C235-FC5CBFC2B0D1}"/>
              </a:ext>
            </a:extLst>
          </xdr:cNvPr>
          <xdr:cNvSpPr txBox="1"/>
        </xdr:nvSpPr>
        <xdr:spPr>
          <a:xfrm>
            <a:off x="43852" y="580494"/>
            <a:ext cx="2883442" cy="22375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900" b="1" baseline="0">
                <a:solidFill>
                  <a:schemeClr val="tx1"/>
                </a:solidFill>
                <a:latin typeface="Segoe UI" panose="020B0502040204020203" pitchFamily="34" charset="0"/>
                <a:cs typeface="Segoe UI" panose="020B0502040204020203" pitchFamily="34" charset="0"/>
              </a:rPr>
              <a:t> </a:t>
            </a:r>
            <a:r>
              <a:rPr lang="en-GB" sz="900" b="1" baseline="0">
                <a:solidFill>
                  <a:schemeClr val="tx1"/>
                </a:solidFill>
                <a:latin typeface="Segoe UI" panose="020B0502040204020203" pitchFamily="34" charset="0"/>
                <a:ea typeface="Segoe UI Black" panose="020B0A02040204020203" pitchFamily="34" charset="0"/>
                <a:cs typeface="Segoe UI" panose="020B0502040204020203" pitchFamily="34" charset="0"/>
              </a:rPr>
              <a:t>AVG. RECOVERY SCORE BY AGE GROUP</a:t>
            </a:r>
            <a:endParaRPr lang="en-NG" sz="900" b="1">
              <a:solidFill>
                <a:schemeClr val="tx1"/>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0</xdr:col>
      <xdr:colOff>73640</xdr:colOff>
      <xdr:row>15</xdr:row>
      <xdr:rowOff>145343</xdr:rowOff>
    </xdr:from>
    <xdr:to>
      <xdr:col>3</xdr:col>
      <xdr:colOff>9620</xdr:colOff>
      <xdr:row>28</xdr:row>
      <xdr:rowOff>129886</xdr:rowOff>
    </xdr:to>
    <xdr:grpSp>
      <xdr:nvGrpSpPr>
        <xdr:cNvPr id="82" name="Group 81">
          <a:extLst>
            <a:ext uri="{FF2B5EF4-FFF2-40B4-BE49-F238E27FC236}">
              <a16:creationId xmlns:a16="http://schemas.microsoft.com/office/drawing/2014/main" id="{E0D0747A-05C5-02CF-ADF5-0E0170F4AE6F}"/>
            </a:ext>
          </a:extLst>
        </xdr:cNvPr>
        <xdr:cNvGrpSpPr/>
      </xdr:nvGrpSpPr>
      <xdr:grpSpPr>
        <a:xfrm>
          <a:off x="73640" y="2842474"/>
          <a:ext cx="1874998" cy="2322055"/>
          <a:chOff x="109469" y="563498"/>
          <a:chExt cx="2890838" cy="1517714"/>
        </a:xfrm>
      </xdr:grpSpPr>
      <xdr:sp macro="" textlink="">
        <xdr:nvSpPr>
          <xdr:cNvPr id="83" name="Rectangle: Rounded Corners 36">
            <a:extLst>
              <a:ext uri="{FF2B5EF4-FFF2-40B4-BE49-F238E27FC236}">
                <a16:creationId xmlns:a16="http://schemas.microsoft.com/office/drawing/2014/main" id="{5E292A17-816A-C6B8-D979-17A742B82FCF}"/>
              </a:ext>
            </a:extLst>
          </xdr:cNvPr>
          <xdr:cNvSpPr/>
        </xdr:nvSpPr>
        <xdr:spPr>
          <a:xfrm>
            <a:off x="109469" y="590550"/>
            <a:ext cx="2890838" cy="1490662"/>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84" name="TextBox 83">
            <a:extLst>
              <a:ext uri="{FF2B5EF4-FFF2-40B4-BE49-F238E27FC236}">
                <a16:creationId xmlns:a16="http://schemas.microsoft.com/office/drawing/2014/main" id="{E448E34C-9AC3-402E-2311-59C452A1CF4B}"/>
              </a:ext>
            </a:extLst>
          </xdr:cNvPr>
          <xdr:cNvSpPr txBox="1"/>
        </xdr:nvSpPr>
        <xdr:spPr>
          <a:xfrm>
            <a:off x="343777" y="563498"/>
            <a:ext cx="2379474" cy="26338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900" b="1" baseline="0">
                <a:solidFill>
                  <a:schemeClr val="tx1"/>
                </a:solidFill>
                <a:latin typeface="Segoe UI" panose="020B0502040204020203" pitchFamily="34" charset="0"/>
                <a:cs typeface="Segoe UI" panose="020B0502040204020203" pitchFamily="34" charset="0"/>
              </a:rPr>
              <a:t>RECOVERY BY GENDER</a:t>
            </a:r>
            <a:endParaRPr lang="en-NG" sz="9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0</xdr:col>
      <xdr:colOff>0</xdr:colOff>
      <xdr:row>23</xdr:row>
      <xdr:rowOff>161903</xdr:rowOff>
    </xdr:from>
    <xdr:to>
      <xdr:col>0</xdr:col>
      <xdr:colOff>14286</xdr:colOff>
      <xdr:row>31</xdr:row>
      <xdr:rowOff>123825</xdr:rowOff>
    </xdr:to>
    <xdr:grpSp>
      <xdr:nvGrpSpPr>
        <xdr:cNvPr id="85" name="Group 84">
          <a:extLst>
            <a:ext uri="{FF2B5EF4-FFF2-40B4-BE49-F238E27FC236}">
              <a16:creationId xmlns:a16="http://schemas.microsoft.com/office/drawing/2014/main" id="{1020BD55-B2EE-E2DC-19D0-017AB9A8B8E6}"/>
            </a:ext>
          </a:extLst>
        </xdr:cNvPr>
        <xdr:cNvGrpSpPr/>
      </xdr:nvGrpSpPr>
      <xdr:grpSpPr>
        <a:xfrm>
          <a:off x="0" y="4297503"/>
          <a:ext cx="14286" cy="1400391"/>
          <a:chOff x="-28929" y="570881"/>
          <a:chExt cx="2957867" cy="1510331"/>
        </a:xfrm>
      </xdr:grpSpPr>
      <xdr:sp macro="" textlink="">
        <xdr:nvSpPr>
          <xdr:cNvPr id="86" name="Rectangle: Rounded Corners 36">
            <a:extLst>
              <a:ext uri="{FF2B5EF4-FFF2-40B4-BE49-F238E27FC236}">
                <a16:creationId xmlns:a16="http://schemas.microsoft.com/office/drawing/2014/main" id="{F0608F7F-4A78-6B87-1715-322CD62D3F31}"/>
              </a:ext>
            </a:extLst>
          </xdr:cNvPr>
          <xdr:cNvSpPr/>
        </xdr:nvSpPr>
        <xdr:spPr>
          <a:xfrm>
            <a:off x="38101" y="590550"/>
            <a:ext cx="2890837" cy="1490662"/>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87" name="TextBox 86">
            <a:extLst>
              <a:ext uri="{FF2B5EF4-FFF2-40B4-BE49-F238E27FC236}">
                <a16:creationId xmlns:a16="http://schemas.microsoft.com/office/drawing/2014/main" id="{FD4E4AB9-6281-B5C6-AA44-ECB05D487FC4}"/>
              </a:ext>
            </a:extLst>
          </xdr:cNvPr>
          <xdr:cNvSpPr txBox="1"/>
        </xdr:nvSpPr>
        <xdr:spPr>
          <a:xfrm>
            <a:off x="-28929" y="570881"/>
            <a:ext cx="2935102" cy="2384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GB" sz="900" b="1">
                <a:solidFill>
                  <a:schemeClr val="tx1"/>
                </a:solidFill>
                <a:latin typeface="Segoe UI" panose="020B0502040204020203" pitchFamily="34" charset="0"/>
                <a:cs typeface="Segoe UI" panose="020B0502040204020203" pitchFamily="34" charset="0"/>
              </a:rPr>
              <a:t>DEPT.</a:t>
            </a:r>
            <a:r>
              <a:rPr lang="en-GB" sz="900" b="1" baseline="0">
                <a:solidFill>
                  <a:schemeClr val="tx1"/>
                </a:solidFill>
                <a:latin typeface="Segoe UI" panose="020B0502040204020203" pitchFamily="34" charset="0"/>
                <a:cs typeface="Segoe UI" panose="020B0502040204020203" pitchFamily="34" charset="0"/>
              </a:rPr>
              <a:t> PERFORMANCE BY AVG. RECOVERY SCORE</a:t>
            </a:r>
            <a:endParaRPr lang="en-NG" sz="9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3</xdr:col>
      <xdr:colOff>66490</xdr:colOff>
      <xdr:row>15</xdr:row>
      <xdr:rowOff>161237</xdr:rowOff>
    </xdr:from>
    <xdr:to>
      <xdr:col>10</xdr:col>
      <xdr:colOff>644620</xdr:colOff>
      <xdr:row>28</xdr:row>
      <xdr:rowOff>129889</xdr:rowOff>
    </xdr:to>
    <xdr:grpSp>
      <xdr:nvGrpSpPr>
        <xdr:cNvPr id="88" name="Group 87">
          <a:extLst>
            <a:ext uri="{FF2B5EF4-FFF2-40B4-BE49-F238E27FC236}">
              <a16:creationId xmlns:a16="http://schemas.microsoft.com/office/drawing/2014/main" id="{305CA548-B872-93F5-D6D1-FFBD26E4A183}"/>
            </a:ext>
          </a:extLst>
        </xdr:cNvPr>
        <xdr:cNvGrpSpPr/>
      </xdr:nvGrpSpPr>
      <xdr:grpSpPr>
        <a:xfrm>
          <a:off x="2005508" y="2858368"/>
          <a:ext cx="5102505" cy="2306164"/>
          <a:chOff x="-5201206" y="865925"/>
          <a:chExt cx="5238759" cy="2486026"/>
        </a:xfrm>
      </xdr:grpSpPr>
      <xdr:sp macro="" textlink="">
        <xdr:nvSpPr>
          <xdr:cNvPr id="96" name="Rectangle: Rounded Corners 36">
            <a:extLst>
              <a:ext uri="{FF2B5EF4-FFF2-40B4-BE49-F238E27FC236}">
                <a16:creationId xmlns:a16="http://schemas.microsoft.com/office/drawing/2014/main" id="{E68735B1-DCE9-EF6A-99CC-655216D7D9AE}"/>
              </a:ext>
            </a:extLst>
          </xdr:cNvPr>
          <xdr:cNvSpPr/>
        </xdr:nvSpPr>
        <xdr:spPr>
          <a:xfrm>
            <a:off x="-2336779" y="865925"/>
            <a:ext cx="2364496" cy="2455428"/>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89" name="Rectangle: Rounded Corners 36">
            <a:extLst>
              <a:ext uri="{FF2B5EF4-FFF2-40B4-BE49-F238E27FC236}">
                <a16:creationId xmlns:a16="http://schemas.microsoft.com/office/drawing/2014/main" id="{7BE46665-B38C-E964-431E-0E688D60E1C0}"/>
              </a:ext>
            </a:extLst>
          </xdr:cNvPr>
          <xdr:cNvSpPr/>
        </xdr:nvSpPr>
        <xdr:spPr>
          <a:xfrm>
            <a:off x="-5201206" y="881237"/>
            <a:ext cx="2823924" cy="2470714"/>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90" name="TextBox 89">
            <a:extLst>
              <a:ext uri="{FF2B5EF4-FFF2-40B4-BE49-F238E27FC236}">
                <a16:creationId xmlns:a16="http://schemas.microsoft.com/office/drawing/2014/main" id="{D87CAD96-1DAB-FF3C-6492-045BB6DAD23E}"/>
              </a:ext>
            </a:extLst>
          </xdr:cNvPr>
          <xdr:cNvSpPr txBox="1"/>
        </xdr:nvSpPr>
        <xdr:spPr>
          <a:xfrm>
            <a:off x="-5175737" y="922803"/>
            <a:ext cx="2788619" cy="2770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900" b="1" baseline="0">
                <a:solidFill>
                  <a:schemeClr val="tx1"/>
                </a:solidFill>
                <a:latin typeface="Segoe UI" panose="020B0502040204020203" pitchFamily="34" charset="0"/>
                <a:cs typeface="Segoe UI" panose="020B0502040204020203" pitchFamily="34" charset="0"/>
              </a:rPr>
              <a:t>TREATMENT COST BY CATEGORY</a:t>
            </a:r>
            <a:endParaRPr lang="en-NG" sz="900" b="1">
              <a:solidFill>
                <a:schemeClr val="tx1"/>
              </a:solidFill>
              <a:latin typeface="Segoe UI" panose="020B0502040204020203" pitchFamily="34" charset="0"/>
              <a:cs typeface="Segoe UI" panose="020B0502040204020203" pitchFamily="34" charset="0"/>
            </a:endParaRPr>
          </a:p>
        </xdr:txBody>
      </xdr:sp>
      <xdr:sp macro="" textlink="">
        <xdr:nvSpPr>
          <xdr:cNvPr id="104" name="TextBox 103">
            <a:extLst>
              <a:ext uri="{FF2B5EF4-FFF2-40B4-BE49-F238E27FC236}">
                <a16:creationId xmlns:a16="http://schemas.microsoft.com/office/drawing/2014/main" id="{ABB7AC63-BD48-F3B5-DB1A-8AB5E701FDAD}"/>
              </a:ext>
            </a:extLst>
          </xdr:cNvPr>
          <xdr:cNvSpPr txBox="1"/>
        </xdr:nvSpPr>
        <xdr:spPr>
          <a:xfrm>
            <a:off x="-2342855" y="905178"/>
            <a:ext cx="2380408" cy="436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900" b="1" baseline="0">
                <a:solidFill>
                  <a:schemeClr val="tx1"/>
                </a:solidFill>
                <a:latin typeface="Segoe UI" panose="020B0502040204020203" pitchFamily="34" charset="0"/>
                <a:cs typeface="Segoe UI" panose="020B0502040204020203" pitchFamily="34" charset="0"/>
              </a:rPr>
              <a:t>DR. PERFORMANCE BY AVG. RECOVERY SCORE </a:t>
            </a:r>
            <a:endParaRPr lang="en-NG" sz="900" b="1">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10</xdr:col>
      <xdr:colOff>633545</xdr:colOff>
      <xdr:row>7</xdr:row>
      <xdr:rowOff>96789</xdr:rowOff>
    </xdr:from>
    <xdr:to>
      <xdr:col>16</xdr:col>
      <xdr:colOff>331932</xdr:colOff>
      <xdr:row>28</xdr:row>
      <xdr:rowOff>101019</xdr:rowOff>
    </xdr:to>
    <xdr:grpSp>
      <xdr:nvGrpSpPr>
        <xdr:cNvPr id="92" name="Group 91">
          <a:extLst>
            <a:ext uri="{FF2B5EF4-FFF2-40B4-BE49-F238E27FC236}">
              <a16:creationId xmlns:a16="http://schemas.microsoft.com/office/drawing/2014/main" id="{D2A18CB8-BF3A-9BDD-A379-23538EFA1635}"/>
            </a:ext>
          </a:extLst>
        </xdr:cNvPr>
        <xdr:cNvGrpSpPr/>
      </xdr:nvGrpSpPr>
      <xdr:grpSpPr>
        <a:xfrm>
          <a:off x="7096938" y="1355450"/>
          <a:ext cx="3576423" cy="3780212"/>
          <a:chOff x="34168" y="595184"/>
          <a:chExt cx="2898704" cy="3701764"/>
        </a:xfrm>
      </xdr:grpSpPr>
      <xdr:sp macro="" textlink="">
        <xdr:nvSpPr>
          <xdr:cNvPr id="93" name="Rectangle: Rounded Corners 36">
            <a:extLst>
              <a:ext uri="{FF2B5EF4-FFF2-40B4-BE49-F238E27FC236}">
                <a16:creationId xmlns:a16="http://schemas.microsoft.com/office/drawing/2014/main" id="{2D8CF6FF-6AF9-148F-F69F-03AADB728C24}"/>
              </a:ext>
            </a:extLst>
          </xdr:cNvPr>
          <xdr:cNvSpPr/>
        </xdr:nvSpPr>
        <xdr:spPr>
          <a:xfrm>
            <a:off x="34168" y="595184"/>
            <a:ext cx="2890837" cy="1649039"/>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94" name="TextBox 93">
            <a:extLst>
              <a:ext uri="{FF2B5EF4-FFF2-40B4-BE49-F238E27FC236}">
                <a16:creationId xmlns:a16="http://schemas.microsoft.com/office/drawing/2014/main" id="{9505CBB1-573D-FF02-2D4D-B910836C8EDA}"/>
              </a:ext>
            </a:extLst>
          </xdr:cNvPr>
          <xdr:cNvSpPr txBox="1"/>
        </xdr:nvSpPr>
        <xdr:spPr>
          <a:xfrm>
            <a:off x="43290" y="603895"/>
            <a:ext cx="2887997" cy="2045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r>
              <a:rPr lang="en-GB" sz="900" b="1">
                <a:solidFill>
                  <a:schemeClr val="tx1"/>
                </a:solidFill>
                <a:latin typeface="Segoe UI" panose="020B0502040204020203" pitchFamily="34" charset="0"/>
                <a:cs typeface="Segoe UI" panose="020B0502040204020203" pitchFamily="34" charset="0"/>
              </a:rPr>
              <a:t>        </a:t>
            </a:r>
            <a:r>
              <a:rPr lang="en-GB" sz="900" b="1">
                <a:solidFill>
                  <a:schemeClr val="tx1"/>
                </a:solidFill>
                <a:latin typeface="Segoe UI Black" panose="020B0A02040204020203" pitchFamily="34" charset="0"/>
                <a:ea typeface="Segoe UI Black" panose="020B0A02040204020203" pitchFamily="34" charset="0"/>
                <a:cs typeface="Segoe UI" panose="020B0502040204020203" pitchFamily="34" charset="0"/>
              </a:rPr>
              <a:t>INSIGHTS</a:t>
            </a:r>
            <a:endParaRPr lang="en-NG" sz="9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sp macro="" textlink="">
        <xdr:nvSpPr>
          <xdr:cNvPr id="95" name="Rectangle: Rounded Corners 36">
            <a:extLst>
              <a:ext uri="{FF2B5EF4-FFF2-40B4-BE49-F238E27FC236}">
                <a16:creationId xmlns:a16="http://schemas.microsoft.com/office/drawing/2014/main" id="{1A430ED8-E69A-CD6C-FCD4-8E8AEC661516}"/>
              </a:ext>
            </a:extLst>
          </xdr:cNvPr>
          <xdr:cNvSpPr/>
        </xdr:nvSpPr>
        <xdr:spPr>
          <a:xfrm>
            <a:off x="42035" y="2258122"/>
            <a:ext cx="2890837" cy="2038826"/>
          </a:xfrm>
          <a:prstGeom prst="rect">
            <a:avLst/>
          </a:prstGeom>
          <a:solidFill>
            <a:srgbClr val="FFFFFF"/>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chemeClr val="bg1">
                  <a:lumMod val="50000"/>
                </a:schemeClr>
              </a:solidFill>
              <a:latin typeface="Segoe UI" panose="020B0502040204020203" pitchFamily="34" charset="0"/>
              <a:ea typeface="Calibri"/>
              <a:cs typeface="Segoe UI" panose="020B0502040204020203" pitchFamily="34" charset="0"/>
            </a:endParaRPr>
          </a:p>
        </xdr:txBody>
      </xdr:sp>
      <xdr:sp macro="" textlink="">
        <xdr:nvSpPr>
          <xdr:cNvPr id="125" name="TextBox 124">
            <a:extLst>
              <a:ext uri="{FF2B5EF4-FFF2-40B4-BE49-F238E27FC236}">
                <a16:creationId xmlns:a16="http://schemas.microsoft.com/office/drawing/2014/main" id="{88C072E9-B3BA-A610-A4EF-37AD85D690C9}"/>
              </a:ext>
            </a:extLst>
          </xdr:cNvPr>
          <xdr:cNvSpPr txBox="1"/>
        </xdr:nvSpPr>
        <xdr:spPr>
          <a:xfrm>
            <a:off x="194376" y="2275176"/>
            <a:ext cx="2738496" cy="22853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r>
              <a:rPr lang="en-GB" sz="900" b="1">
                <a:solidFill>
                  <a:schemeClr val="tx1"/>
                </a:solidFill>
                <a:latin typeface="Segoe UI" panose="020B0502040204020203" pitchFamily="34" charset="0"/>
                <a:cs typeface="Segoe UI" panose="020B0502040204020203" pitchFamily="34" charset="0"/>
              </a:rPr>
              <a:t>        </a:t>
            </a:r>
            <a:r>
              <a:rPr lang="en-GB" sz="900" b="1">
                <a:solidFill>
                  <a:schemeClr val="tx1"/>
                </a:solidFill>
                <a:latin typeface="Segoe UI Black" panose="020B0A02040204020203" pitchFamily="34" charset="0"/>
                <a:ea typeface="Segoe UI Black" panose="020B0A02040204020203" pitchFamily="34" charset="0"/>
                <a:cs typeface="Segoe UI" panose="020B0502040204020203" pitchFamily="34" charset="0"/>
              </a:rPr>
              <a:t>RECOMMENDATION</a:t>
            </a:r>
            <a:endParaRPr lang="en-NG" sz="900" b="1">
              <a:solidFill>
                <a:schemeClr val="tx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0</xdr:col>
      <xdr:colOff>87881</xdr:colOff>
      <xdr:row>17</xdr:row>
      <xdr:rowOff>9525</xdr:rowOff>
    </xdr:from>
    <xdr:to>
      <xdr:col>2</xdr:col>
      <xdr:colOff>509589</xdr:colOff>
      <xdr:row>24</xdr:row>
      <xdr:rowOff>14288</xdr:rowOff>
    </xdr:to>
    <xdr:graphicFrame macro="">
      <xdr:nvGraphicFramePr>
        <xdr:cNvPr id="100" name="Chart 99">
          <a:extLst>
            <a:ext uri="{FF2B5EF4-FFF2-40B4-BE49-F238E27FC236}">
              <a16:creationId xmlns:a16="http://schemas.microsoft.com/office/drawing/2014/main" id="{8C792596-165A-4029-8F24-75776B65E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68830</xdr:colOff>
      <xdr:row>15</xdr:row>
      <xdr:rowOff>159775</xdr:rowOff>
    </xdr:from>
    <xdr:to>
      <xdr:col>2</xdr:col>
      <xdr:colOff>620567</xdr:colOff>
      <xdr:row>28</xdr:row>
      <xdr:rowOff>139506</xdr:rowOff>
    </xdr:to>
    <xdr:graphicFrame macro="">
      <xdr:nvGraphicFramePr>
        <xdr:cNvPr id="101" name="Chart 100">
          <a:extLst>
            <a:ext uri="{FF2B5EF4-FFF2-40B4-BE49-F238E27FC236}">
              <a16:creationId xmlns:a16="http://schemas.microsoft.com/office/drawing/2014/main" id="{BBCA94B8-359E-4344-8FAD-4832A385C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43295</xdr:colOff>
      <xdr:row>17</xdr:row>
      <xdr:rowOff>151696</xdr:rowOff>
    </xdr:from>
    <xdr:to>
      <xdr:col>7</xdr:col>
      <xdr:colOff>173182</xdr:colOff>
      <xdr:row>28</xdr:row>
      <xdr:rowOff>120265</xdr:rowOff>
    </xdr:to>
    <xdr:graphicFrame macro="">
      <xdr:nvGraphicFramePr>
        <xdr:cNvPr id="106" name="Chart 105">
          <a:extLst>
            <a:ext uri="{FF2B5EF4-FFF2-40B4-BE49-F238E27FC236}">
              <a16:creationId xmlns:a16="http://schemas.microsoft.com/office/drawing/2014/main" id="{9D0221B3-B96A-4BA7-AD3C-2A4F3E31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11</xdr:col>
      <xdr:colOff>36079</xdr:colOff>
      <xdr:row>7</xdr:row>
      <xdr:rowOff>105835</xdr:rowOff>
    </xdr:from>
    <xdr:to>
      <xdr:col>11</xdr:col>
      <xdr:colOff>327120</xdr:colOff>
      <xdr:row>9</xdr:row>
      <xdr:rowOff>43296</xdr:rowOff>
    </xdr:to>
    <xdr:pic>
      <xdr:nvPicPr>
        <xdr:cNvPr id="108" name="Graphic 107" descr="Lights On with solid fill">
          <a:extLst>
            <a:ext uri="{FF2B5EF4-FFF2-40B4-BE49-F238E27FC236}">
              <a16:creationId xmlns:a16="http://schemas.microsoft.com/office/drawing/2014/main" id="{2C694DE7-FE54-233F-0537-216BDBA123D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7179830" y="1385456"/>
          <a:ext cx="291041" cy="303067"/>
        </a:xfrm>
        <a:prstGeom prst="rect">
          <a:avLst/>
        </a:prstGeom>
      </xdr:spPr>
    </xdr:pic>
    <xdr:clientData/>
  </xdr:twoCellAnchor>
  <xdr:twoCellAnchor>
    <xdr:from>
      <xdr:col>7</xdr:col>
      <xdr:colOff>259774</xdr:colOff>
      <xdr:row>16</xdr:row>
      <xdr:rowOff>19243</xdr:rowOff>
    </xdr:from>
    <xdr:to>
      <xdr:col>10</xdr:col>
      <xdr:colOff>615759</xdr:colOff>
      <xdr:row>28</xdr:row>
      <xdr:rowOff>120255</xdr:rowOff>
    </xdr:to>
    <xdr:sp macro="" textlink="">
      <xdr:nvSpPr>
        <xdr:cNvPr id="109" name="Rectangle 108">
          <a:extLst>
            <a:ext uri="{FF2B5EF4-FFF2-40B4-BE49-F238E27FC236}">
              <a16:creationId xmlns:a16="http://schemas.microsoft.com/office/drawing/2014/main" id="{69B1D4EC-4479-43B4-AA2A-F90AD8465A9F}"/>
            </a:ext>
          </a:extLst>
        </xdr:cNvPr>
        <xdr:cNvSpPr/>
      </xdr:nvSpPr>
      <xdr:spPr>
        <a:xfrm>
          <a:off x="4805797" y="2944091"/>
          <a:ext cx="2304280" cy="22946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62537</xdr:colOff>
      <xdr:row>16</xdr:row>
      <xdr:rowOff>24054</xdr:rowOff>
    </xdr:from>
    <xdr:to>
      <xdr:col>7</xdr:col>
      <xdr:colOff>203344</xdr:colOff>
      <xdr:row>28</xdr:row>
      <xdr:rowOff>125066</xdr:rowOff>
    </xdr:to>
    <xdr:sp macro="" textlink="">
      <xdr:nvSpPr>
        <xdr:cNvPr id="110" name="Rectangle 109">
          <a:extLst>
            <a:ext uri="{FF2B5EF4-FFF2-40B4-BE49-F238E27FC236}">
              <a16:creationId xmlns:a16="http://schemas.microsoft.com/office/drawing/2014/main" id="{73E03923-D432-48A7-A125-66AE9AE75A0A}"/>
            </a:ext>
          </a:extLst>
        </xdr:cNvPr>
        <xdr:cNvSpPr/>
      </xdr:nvSpPr>
      <xdr:spPr>
        <a:xfrm>
          <a:off x="2010833" y="2948902"/>
          <a:ext cx="2738534" cy="22946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11</xdr:col>
      <xdr:colOff>81781</xdr:colOff>
      <xdr:row>9</xdr:row>
      <xdr:rowOff>67349</xdr:rowOff>
    </xdr:from>
    <xdr:to>
      <xdr:col>11</xdr:col>
      <xdr:colOff>293446</xdr:colOff>
      <xdr:row>10</xdr:row>
      <xdr:rowOff>149130</xdr:rowOff>
    </xdr:to>
    <xdr:pic>
      <xdr:nvPicPr>
        <xdr:cNvPr id="112" name="Graphic 111" descr="Checkmark with solid fill">
          <a:extLst>
            <a:ext uri="{FF2B5EF4-FFF2-40B4-BE49-F238E27FC236}">
              <a16:creationId xmlns:a16="http://schemas.microsoft.com/office/drawing/2014/main" id="{457C4B4A-0685-32BA-03F0-28D8EC3FC14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225532" y="1712576"/>
          <a:ext cx="211665" cy="264584"/>
        </a:xfrm>
        <a:prstGeom prst="rect">
          <a:avLst/>
        </a:prstGeom>
      </xdr:spPr>
    </xdr:pic>
    <xdr:clientData/>
  </xdr:twoCellAnchor>
  <xdr:twoCellAnchor editAs="oneCell">
    <xdr:from>
      <xdr:col>11</xdr:col>
      <xdr:colOff>33673</xdr:colOff>
      <xdr:row>11</xdr:row>
      <xdr:rowOff>57729</xdr:rowOff>
    </xdr:from>
    <xdr:to>
      <xdr:col>11</xdr:col>
      <xdr:colOff>327120</xdr:colOff>
      <xdr:row>12</xdr:row>
      <xdr:rowOff>173182</xdr:rowOff>
    </xdr:to>
    <xdr:pic>
      <xdr:nvPicPr>
        <xdr:cNvPr id="114" name="Graphic 113" descr="Warning with solid fill">
          <a:extLst>
            <a:ext uri="{FF2B5EF4-FFF2-40B4-BE49-F238E27FC236}">
              <a16:creationId xmlns:a16="http://schemas.microsoft.com/office/drawing/2014/main" id="{107E537D-087F-00EE-17FA-E619CCD707C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177424" y="2068562"/>
          <a:ext cx="293447" cy="298256"/>
        </a:xfrm>
        <a:prstGeom prst="rect">
          <a:avLst/>
        </a:prstGeom>
      </xdr:spPr>
    </xdr:pic>
    <xdr:clientData/>
  </xdr:twoCellAnchor>
  <xdr:twoCellAnchor editAs="oneCell">
    <xdr:from>
      <xdr:col>11</xdr:col>
      <xdr:colOff>43294</xdr:colOff>
      <xdr:row>13</xdr:row>
      <xdr:rowOff>48107</xdr:rowOff>
    </xdr:from>
    <xdr:to>
      <xdr:col>11</xdr:col>
      <xdr:colOff>360793</xdr:colOff>
      <xdr:row>14</xdr:row>
      <xdr:rowOff>139509</xdr:rowOff>
    </xdr:to>
    <xdr:pic>
      <xdr:nvPicPr>
        <xdr:cNvPr id="116" name="Graphic 115" descr="Information with solid fill">
          <a:extLst>
            <a:ext uri="{FF2B5EF4-FFF2-40B4-BE49-F238E27FC236}">
              <a16:creationId xmlns:a16="http://schemas.microsoft.com/office/drawing/2014/main" id="{DFF6F416-27D2-718F-CB87-14E91C882CD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187045" y="2424546"/>
          <a:ext cx="317499" cy="274205"/>
        </a:xfrm>
        <a:prstGeom prst="rect">
          <a:avLst/>
        </a:prstGeom>
      </xdr:spPr>
    </xdr:pic>
    <xdr:clientData/>
  </xdr:twoCellAnchor>
  <xdr:twoCellAnchor editAs="oneCell">
    <xdr:from>
      <xdr:col>11</xdr:col>
      <xdr:colOff>91401</xdr:colOff>
      <xdr:row>15</xdr:row>
      <xdr:rowOff>72160</xdr:rowOff>
    </xdr:from>
    <xdr:to>
      <xdr:col>11</xdr:col>
      <xdr:colOff>413712</xdr:colOff>
      <xdr:row>16</xdr:row>
      <xdr:rowOff>129887</xdr:rowOff>
    </xdr:to>
    <xdr:pic>
      <xdr:nvPicPr>
        <xdr:cNvPr id="118" name="Graphic 117" descr="Pound with solid fill">
          <a:extLst>
            <a:ext uri="{FF2B5EF4-FFF2-40B4-BE49-F238E27FC236}">
              <a16:creationId xmlns:a16="http://schemas.microsoft.com/office/drawing/2014/main" id="{864BE53D-2392-C58A-78AE-959DC644653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235152" y="2814205"/>
          <a:ext cx="322311" cy="240530"/>
        </a:xfrm>
        <a:prstGeom prst="rect">
          <a:avLst/>
        </a:prstGeom>
      </xdr:spPr>
    </xdr:pic>
    <xdr:clientData/>
  </xdr:twoCellAnchor>
  <xdr:oneCellAnchor>
    <xdr:from>
      <xdr:col>11</xdr:col>
      <xdr:colOff>288635</xdr:colOff>
      <xdr:row>8</xdr:row>
      <xdr:rowOff>134697</xdr:rowOff>
    </xdr:from>
    <xdr:ext cx="3261591" cy="399340"/>
    <xdr:sp macro="" textlink="">
      <xdr:nvSpPr>
        <xdr:cNvPr id="119" name="TextBox 118">
          <a:extLst>
            <a:ext uri="{FF2B5EF4-FFF2-40B4-BE49-F238E27FC236}">
              <a16:creationId xmlns:a16="http://schemas.microsoft.com/office/drawing/2014/main" id="{AECB6DB5-905A-7BA3-BDA7-0B39352DE1C1}"/>
            </a:ext>
          </a:extLst>
        </xdr:cNvPr>
        <xdr:cNvSpPr txBox="1"/>
      </xdr:nvSpPr>
      <xdr:spPr>
        <a:xfrm>
          <a:off x="7432386" y="1597121"/>
          <a:ext cx="3261591" cy="399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900" b="1">
              <a:latin typeface="Segoe UI" panose="020B0502040204020203" pitchFamily="34" charset="0"/>
              <a:ea typeface="Segoe UI Black" panose="020B0A02040204020203" pitchFamily="34" charset="0"/>
              <a:cs typeface="Segoe UI" panose="020B0502040204020203" pitchFamily="34" charset="0"/>
            </a:rPr>
            <a:t>Dermatology has the highest</a:t>
          </a:r>
          <a:r>
            <a:rPr lang="en-GB" sz="900" b="1" baseline="0">
              <a:latin typeface="Segoe UI" panose="020B0502040204020203" pitchFamily="34" charset="0"/>
              <a:ea typeface="Segoe UI Black" panose="020B0A02040204020203" pitchFamily="34" charset="0"/>
              <a:cs typeface="Segoe UI" panose="020B0502040204020203" pitchFamily="34" charset="0"/>
            </a:rPr>
            <a:t> recovery score</a:t>
          </a:r>
          <a:r>
            <a:rPr lang="en-GB" sz="900" b="0" baseline="0">
              <a:latin typeface="Segoe UI" panose="020B0502040204020203" pitchFamily="34" charset="0"/>
              <a:ea typeface="Segoe UI Black" panose="020B0A02040204020203" pitchFamily="34" charset="0"/>
              <a:cs typeface="Segoe UI" panose="020B0502040204020203" pitchFamily="34" charset="0"/>
            </a:rPr>
            <a:t> indicating effective treatment outcomes </a:t>
          </a:r>
          <a:endParaRPr lang="en-NG" sz="900" b="0">
            <a:latin typeface="Segoe UI" panose="020B0502040204020203" pitchFamily="34" charset="0"/>
            <a:ea typeface="Segoe UI Black" panose="020B0A02040204020203" pitchFamily="34" charset="0"/>
            <a:cs typeface="Segoe UI" panose="020B0502040204020203" pitchFamily="34" charset="0"/>
          </a:endParaRPr>
        </a:p>
      </xdr:txBody>
    </xdr:sp>
    <xdr:clientData/>
  </xdr:oneCellAnchor>
  <xdr:oneCellAnchor>
    <xdr:from>
      <xdr:col>11</xdr:col>
      <xdr:colOff>307878</xdr:colOff>
      <xdr:row>10</xdr:row>
      <xdr:rowOff>134697</xdr:rowOff>
    </xdr:from>
    <xdr:ext cx="3251969" cy="399282"/>
    <xdr:sp macro="" textlink="">
      <xdr:nvSpPr>
        <xdr:cNvPr id="120" name="TextBox 119">
          <a:extLst>
            <a:ext uri="{FF2B5EF4-FFF2-40B4-BE49-F238E27FC236}">
              <a16:creationId xmlns:a16="http://schemas.microsoft.com/office/drawing/2014/main" id="{78F99F8D-737E-CBC8-A498-195FEEC36A78}"/>
            </a:ext>
          </a:extLst>
        </xdr:cNvPr>
        <xdr:cNvSpPr txBox="1"/>
      </xdr:nvSpPr>
      <xdr:spPr>
        <a:xfrm>
          <a:off x="7451629" y="1962727"/>
          <a:ext cx="3251969" cy="39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1" baseline="0">
              <a:latin typeface="Segoe UI" panose="020B0502040204020203" pitchFamily="34" charset="0"/>
              <a:ea typeface="Segoe UI Black" panose="020B0A02040204020203" pitchFamily="34" charset="0"/>
              <a:cs typeface="Segoe UI" panose="020B0502040204020203" pitchFamily="34" charset="0"/>
            </a:rPr>
            <a:t>Children show slightly lower recovery stats;</a:t>
          </a:r>
          <a:r>
            <a:rPr lang="en-GB" sz="900" baseline="0">
              <a:latin typeface="Segoe UI" panose="020B0502040204020203" pitchFamily="34" charset="0"/>
              <a:ea typeface="Segoe UI Black" panose="020B0A02040204020203" pitchFamily="34" charset="0"/>
              <a:cs typeface="Segoe UI" panose="020B0502040204020203" pitchFamily="34" charset="0"/>
            </a:rPr>
            <a:t> focus on this demographic,as age is consistent otherwise</a:t>
          </a:r>
        </a:p>
      </xdr:txBody>
    </xdr:sp>
    <xdr:clientData/>
  </xdr:oneCellAnchor>
  <xdr:oneCellAnchor>
    <xdr:from>
      <xdr:col>11</xdr:col>
      <xdr:colOff>322310</xdr:colOff>
      <xdr:row>15</xdr:row>
      <xdr:rowOff>72160</xdr:rowOff>
    </xdr:from>
    <xdr:ext cx="3213484" cy="250151"/>
    <xdr:sp macro="" textlink="">
      <xdr:nvSpPr>
        <xdr:cNvPr id="121" name="TextBox 120">
          <a:extLst>
            <a:ext uri="{FF2B5EF4-FFF2-40B4-BE49-F238E27FC236}">
              <a16:creationId xmlns:a16="http://schemas.microsoft.com/office/drawing/2014/main" id="{BA30772D-37B4-9740-C24E-33F4411DDC5D}"/>
            </a:ext>
          </a:extLst>
        </xdr:cNvPr>
        <xdr:cNvSpPr txBox="1"/>
      </xdr:nvSpPr>
      <xdr:spPr>
        <a:xfrm>
          <a:off x="7466061" y="2814205"/>
          <a:ext cx="3213484" cy="250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900">
              <a:latin typeface="Segoe UI" panose="020B0502040204020203" pitchFamily="34" charset="0"/>
              <a:ea typeface="Segoe UI Black" panose="020B0A02040204020203" pitchFamily="34" charset="0"/>
              <a:cs typeface="Segoe UI" panose="020B0502040204020203" pitchFamily="34" charset="0"/>
            </a:rPr>
            <a:t>Cost &amp; Category: </a:t>
          </a:r>
          <a:r>
            <a:rPr lang="en-GB" sz="900" b="1">
              <a:latin typeface="Segoe UI" panose="020B0502040204020203" pitchFamily="34" charset="0"/>
              <a:ea typeface="Segoe UI Black" panose="020B0A02040204020203" pitchFamily="34" charset="0"/>
              <a:cs typeface="Segoe UI" panose="020B0502040204020203" pitchFamily="34" charset="0"/>
            </a:rPr>
            <a:t>Low &amp; Moderate patients dominate</a:t>
          </a:r>
          <a:r>
            <a:rPr lang="en-GB" sz="900">
              <a:latin typeface="Segoe UI Black" panose="020B0A02040204020203" pitchFamily="34" charset="0"/>
              <a:ea typeface="Segoe UI Black" panose="020B0A02040204020203" pitchFamily="34" charset="0"/>
            </a:rPr>
            <a:t> </a:t>
          </a:r>
        </a:p>
        <a:p>
          <a:endParaRPr lang="en-NG" sz="1100"/>
        </a:p>
      </xdr:txBody>
    </xdr:sp>
    <xdr:clientData/>
  </xdr:oneCellAnchor>
  <xdr:oneCellAnchor>
    <xdr:from>
      <xdr:col>11</xdr:col>
      <xdr:colOff>312688</xdr:colOff>
      <xdr:row>12</xdr:row>
      <xdr:rowOff>168370</xdr:rowOff>
    </xdr:from>
    <xdr:ext cx="3309945" cy="428145"/>
    <xdr:sp macro="" textlink="">
      <xdr:nvSpPr>
        <xdr:cNvPr id="122" name="TextBox 121">
          <a:extLst>
            <a:ext uri="{FF2B5EF4-FFF2-40B4-BE49-F238E27FC236}">
              <a16:creationId xmlns:a16="http://schemas.microsoft.com/office/drawing/2014/main" id="{FF679B0F-437A-97FA-E047-D5E49C7C34B9}"/>
            </a:ext>
          </a:extLst>
        </xdr:cNvPr>
        <xdr:cNvSpPr txBox="1"/>
      </xdr:nvSpPr>
      <xdr:spPr>
        <a:xfrm>
          <a:off x="7456439" y="2362006"/>
          <a:ext cx="3309945" cy="428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900" b="1">
              <a:latin typeface="Segoe UI" panose="020B0502040204020203" pitchFamily="34" charset="0"/>
              <a:ea typeface="Segoe UI Black" panose="020B0A02040204020203" pitchFamily="34" charset="0"/>
              <a:cs typeface="Segoe UI" panose="020B0502040204020203" pitchFamily="34" charset="0"/>
            </a:rPr>
            <a:t>Dr. Smith &amp; Rodriguez underperform in recovery score</a:t>
          </a:r>
        </a:p>
        <a:p>
          <a:r>
            <a:rPr lang="en-GB" sz="900">
              <a:latin typeface="Segoe UI" panose="020B0502040204020203" pitchFamily="34" charset="0"/>
              <a:ea typeface="Segoe UI Black" panose="020B0A02040204020203" pitchFamily="34" charset="0"/>
              <a:cs typeface="Segoe UI" panose="020B0502040204020203" pitchFamily="34" charset="0"/>
            </a:rPr>
            <a:t>suggesting opportunity for process improvement.</a:t>
          </a:r>
        </a:p>
        <a:p>
          <a:endParaRPr lang="en-NG" sz="1100"/>
        </a:p>
      </xdr:txBody>
    </xdr:sp>
    <xdr:clientData/>
  </xdr:oneCellAnchor>
  <xdr:twoCellAnchor editAs="oneCell">
    <xdr:from>
      <xdr:col>11</xdr:col>
      <xdr:colOff>52916</xdr:colOff>
      <xdr:row>17</xdr:row>
      <xdr:rowOff>19244</xdr:rowOff>
    </xdr:from>
    <xdr:to>
      <xdr:col>11</xdr:col>
      <xdr:colOff>457006</xdr:colOff>
      <xdr:row>18</xdr:row>
      <xdr:rowOff>149129</xdr:rowOff>
    </xdr:to>
    <xdr:pic>
      <xdr:nvPicPr>
        <xdr:cNvPr id="124" name="Graphic 123" descr="Bullseye outline">
          <a:extLst>
            <a:ext uri="{FF2B5EF4-FFF2-40B4-BE49-F238E27FC236}">
              <a16:creationId xmlns:a16="http://schemas.microsoft.com/office/drawing/2014/main" id="{939BB585-14A5-0FFE-1E21-32EDF6FF4898}"/>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7196667" y="3126896"/>
          <a:ext cx="404090" cy="312688"/>
        </a:xfrm>
        <a:prstGeom prst="rect">
          <a:avLst/>
        </a:prstGeom>
        <a:scene3d>
          <a:camera prst="orthographicFront"/>
          <a:lightRig rig="threePt" dir="t"/>
        </a:scene3d>
        <a:sp3d>
          <a:bevelT/>
        </a:sp3d>
      </xdr:spPr>
    </xdr:pic>
    <xdr:clientData/>
  </xdr:twoCellAnchor>
  <xdr:oneCellAnchor>
    <xdr:from>
      <xdr:col>10</xdr:col>
      <xdr:colOff>601326</xdr:colOff>
      <xdr:row>18</xdr:row>
      <xdr:rowOff>105833</xdr:rowOff>
    </xdr:from>
    <xdr:ext cx="3569469" cy="466629"/>
    <xdr:sp macro="" textlink="">
      <xdr:nvSpPr>
        <xdr:cNvPr id="128" name="TextBox 127">
          <a:extLst>
            <a:ext uri="{FF2B5EF4-FFF2-40B4-BE49-F238E27FC236}">
              <a16:creationId xmlns:a16="http://schemas.microsoft.com/office/drawing/2014/main" id="{FF2E69A1-57A7-DC38-5737-416DD595E8A9}"/>
            </a:ext>
          </a:extLst>
        </xdr:cNvPr>
        <xdr:cNvSpPr txBox="1"/>
      </xdr:nvSpPr>
      <xdr:spPr>
        <a:xfrm>
          <a:off x="7095644" y="3396288"/>
          <a:ext cx="3569469" cy="466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Prioritize resources and training for </a:t>
          </a: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department showing </a:t>
          </a:r>
        </a:p>
        <a:p>
          <a:pPr marL="0" marR="0" lvl="0" indent="0" defTabSz="914400" eaLnBrk="1" fontAlgn="auto" latinLnBrk="0" hangingPunct="1">
            <a:lnSpc>
              <a:spcPct val="100000"/>
            </a:lnSpc>
            <a:spcBef>
              <a:spcPts val="0"/>
            </a:spcBef>
            <a:spcAft>
              <a:spcPts val="0"/>
            </a:spcAft>
            <a:buClrTx/>
            <a:buSzTx/>
            <a:buFontTx/>
            <a:buNone/>
            <a:tabLst/>
            <a:defRPr/>
          </a:pP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lower recovery stats</a:t>
          </a: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(Cardiology &amp; Oncology).</a:t>
          </a:r>
          <a:endParaRPr lang="en-NG" sz="900" b="1">
            <a:effectLst/>
            <a:latin typeface="Segoe UI" panose="020B0502040204020203" pitchFamily="34" charset="0"/>
            <a:ea typeface="Segoe UI Black" panose="020B0A02040204020203" pitchFamily="34" charset="0"/>
            <a:cs typeface="Segoe UI" panose="020B0502040204020203" pitchFamily="34" charset="0"/>
          </a:endParaRPr>
        </a:p>
        <a:p>
          <a:endParaRPr lang="en-NG" sz="1100" b="1"/>
        </a:p>
      </xdr:txBody>
    </xdr:sp>
    <xdr:clientData/>
  </xdr:oneCellAnchor>
  <xdr:oneCellAnchor>
    <xdr:from>
      <xdr:col>10</xdr:col>
      <xdr:colOff>606137</xdr:colOff>
      <xdr:row>20</xdr:row>
      <xdr:rowOff>120265</xdr:rowOff>
    </xdr:from>
    <xdr:ext cx="3669018" cy="582082"/>
    <xdr:sp macro="" textlink="">
      <xdr:nvSpPr>
        <xdr:cNvPr id="129" name="TextBox 128">
          <a:extLst>
            <a:ext uri="{FF2B5EF4-FFF2-40B4-BE49-F238E27FC236}">
              <a16:creationId xmlns:a16="http://schemas.microsoft.com/office/drawing/2014/main" id="{0D09C29E-1E2D-A6FA-77FE-7324E9038409}"/>
            </a:ext>
          </a:extLst>
        </xdr:cNvPr>
        <xdr:cNvSpPr txBox="1"/>
      </xdr:nvSpPr>
      <xdr:spPr>
        <a:xfrm>
          <a:off x="7100455" y="3776326"/>
          <a:ext cx="3669018" cy="582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Standardise Surgical and Dermatology procedures treatment </a:t>
          </a:r>
        </a:p>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protocols </a:t>
          </a: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for optimal patient recovery scores </a:t>
          </a: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across all </a:t>
          </a:r>
        </a:p>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departments </a:t>
          </a:r>
          <a:endParaRPr lang="en-NG" sz="900" b="1">
            <a:effectLst/>
            <a:latin typeface="Segoe UI" panose="020B0502040204020203" pitchFamily="34" charset="0"/>
            <a:ea typeface="Segoe UI Black" panose="020B0A02040204020203" pitchFamily="34" charset="0"/>
            <a:cs typeface="Segoe UI" panose="020B0502040204020203" pitchFamily="34" charset="0"/>
          </a:endParaRPr>
        </a:p>
        <a:p>
          <a:endParaRPr lang="en-NG" sz="1100"/>
        </a:p>
      </xdr:txBody>
    </xdr:sp>
    <xdr:clientData/>
  </xdr:oneCellAnchor>
  <xdr:oneCellAnchor>
    <xdr:from>
      <xdr:col>10</xdr:col>
      <xdr:colOff>606136</xdr:colOff>
      <xdr:row>23</xdr:row>
      <xdr:rowOff>110644</xdr:rowOff>
    </xdr:from>
    <xdr:ext cx="3800399" cy="408901"/>
    <xdr:sp macro="" textlink="">
      <xdr:nvSpPr>
        <xdr:cNvPr id="130" name="TextBox 129">
          <a:extLst>
            <a:ext uri="{FF2B5EF4-FFF2-40B4-BE49-F238E27FC236}">
              <a16:creationId xmlns:a16="http://schemas.microsoft.com/office/drawing/2014/main" id="{41B04CCA-907B-2291-042B-4537335C5EB5}"/>
            </a:ext>
          </a:extLst>
        </xdr:cNvPr>
        <xdr:cNvSpPr txBox="1"/>
      </xdr:nvSpPr>
      <xdr:spPr>
        <a:xfrm>
          <a:off x="7100454" y="4315114"/>
          <a:ext cx="3800399" cy="408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Schedule performance reviews for Dr, Rodriguez and Dr. smith</a:t>
          </a: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focusing on lower-than-avg. recovery scores.</a:t>
          </a:r>
          <a:endParaRPr lang="en-NG" sz="900">
            <a:effectLst/>
            <a:latin typeface="Segoe UI" panose="020B0502040204020203" pitchFamily="34" charset="0"/>
            <a:ea typeface="Segoe UI Black" panose="020B0A02040204020203" pitchFamily="34" charset="0"/>
            <a:cs typeface="Segoe UI" panose="020B0502040204020203" pitchFamily="34" charset="0"/>
          </a:endParaRPr>
        </a:p>
        <a:p>
          <a:endParaRPr lang="en-NG" sz="1100"/>
        </a:p>
      </xdr:txBody>
    </xdr:sp>
    <xdr:clientData/>
  </xdr:oneCellAnchor>
  <xdr:oneCellAnchor>
    <xdr:from>
      <xdr:col>10</xdr:col>
      <xdr:colOff>586894</xdr:colOff>
      <xdr:row>25</xdr:row>
      <xdr:rowOff>129886</xdr:rowOff>
    </xdr:from>
    <xdr:ext cx="3432671" cy="471439"/>
    <xdr:sp macro="" textlink="">
      <xdr:nvSpPr>
        <xdr:cNvPr id="131" name="TextBox 130">
          <a:extLst>
            <a:ext uri="{FF2B5EF4-FFF2-40B4-BE49-F238E27FC236}">
              <a16:creationId xmlns:a16="http://schemas.microsoft.com/office/drawing/2014/main" id="{249F0598-819B-B074-9D37-EC412AA2454E}"/>
            </a:ext>
          </a:extLst>
        </xdr:cNvPr>
        <xdr:cNvSpPr txBox="1"/>
      </xdr:nvSpPr>
      <xdr:spPr>
        <a:xfrm>
          <a:off x="7081212" y="4699962"/>
          <a:ext cx="3432671" cy="471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900" b="1"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Investigate child recovery</a:t>
          </a: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 with focused patient care pathways </a:t>
          </a:r>
        </a:p>
        <a:p>
          <a:pPr marL="0" marR="0" lvl="0" indent="0" defTabSz="914400" eaLnBrk="1" fontAlgn="auto" latinLnBrk="0" hangingPunct="1">
            <a:lnSpc>
              <a:spcPct val="100000"/>
            </a:lnSpc>
            <a:spcBef>
              <a:spcPts val="0"/>
            </a:spcBef>
            <a:spcAft>
              <a:spcPts val="0"/>
            </a:spcAft>
            <a:buClrTx/>
            <a:buSzTx/>
            <a:buFontTx/>
            <a:buNone/>
            <a:tabLst/>
            <a:defRPr/>
          </a:pPr>
          <a:r>
            <a:rPr lang="en-GB" sz="900" b="0" i="0" baseline="0">
              <a:solidFill>
                <a:schemeClr val="tx1"/>
              </a:solidFill>
              <a:effectLst/>
              <a:latin typeface="Segoe UI" panose="020B0502040204020203" pitchFamily="34" charset="0"/>
              <a:ea typeface="Segoe UI Black" panose="020B0A02040204020203" pitchFamily="34" charset="0"/>
              <a:cs typeface="Segoe UI" panose="020B0502040204020203" pitchFamily="34" charset="0"/>
            </a:rPr>
            <a:t>optimize low cost procedures for patient throughputs' </a:t>
          </a:r>
          <a:endParaRPr lang="en-NG" sz="900">
            <a:effectLst/>
            <a:latin typeface="Segoe UI" panose="020B0502040204020203" pitchFamily="34" charset="0"/>
            <a:ea typeface="Segoe UI Black" panose="020B0A02040204020203" pitchFamily="34" charset="0"/>
            <a:cs typeface="Segoe UI" panose="020B0502040204020203" pitchFamily="34" charset="0"/>
          </a:endParaRPr>
        </a:p>
        <a:p>
          <a:endParaRPr lang="en-NG" sz="1100"/>
        </a:p>
      </xdr:txBody>
    </xdr:sp>
    <xdr:clientData/>
  </xdr:oneCellAnchor>
  <xdr:twoCellAnchor editAs="oneCell">
    <xdr:from>
      <xdr:col>16</xdr:col>
      <xdr:colOff>365360</xdr:colOff>
      <xdr:row>2</xdr:row>
      <xdr:rowOff>168371</xdr:rowOff>
    </xdr:from>
    <xdr:to>
      <xdr:col>19</xdr:col>
      <xdr:colOff>615511</xdr:colOff>
      <xdr:row>10</xdr:row>
      <xdr:rowOff>144318</xdr:rowOff>
    </xdr:to>
    <mc:AlternateContent xmlns:mc="http://schemas.openxmlformats.org/markup-compatibility/2006" xmlns:a14="http://schemas.microsoft.com/office/drawing/2010/main">
      <mc:Choice Requires="a14">
        <xdr:graphicFrame macro="">
          <xdr:nvGraphicFramePr>
            <xdr:cNvPr id="133" name="Department">
              <a:extLst>
                <a:ext uri="{FF2B5EF4-FFF2-40B4-BE49-F238E27FC236}">
                  <a16:creationId xmlns:a16="http://schemas.microsoft.com/office/drawing/2014/main" id="{8EE011ED-A07C-46A7-9534-17853FE8E39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06789" y="527988"/>
              <a:ext cx="2189169" cy="14144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336742</xdr:colOff>
      <xdr:row>8</xdr:row>
      <xdr:rowOff>120264</xdr:rowOff>
    </xdr:from>
    <xdr:to>
      <xdr:col>10</xdr:col>
      <xdr:colOff>577272</xdr:colOff>
      <xdr:row>15</xdr:row>
      <xdr:rowOff>163560</xdr:rowOff>
    </xdr:to>
    <xdr:graphicFrame macro="">
      <xdr:nvGraphicFramePr>
        <xdr:cNvPr id="134" name="Chart 133">
          <a:extLst>
            <a:ext uri="{FF2B5EF4-FFF2-40B4-BE49-F238E27FC236}">
              <a16:creationId xmlns:a16="http://schemas.microsoft.com/office/drawing/2014/main" id="{E8E0FA01-BA1F-41B2-8E04-893384B3B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7</xdr:col>
      <xdr:colOff>250152</xdr:colOff>
      <xdr:row>18</xdr:row>
      <xdr:rowOff>0</xdr:rowOff>
    </xdr:from>
    <xdr:to>
      <xdr:col>10</xdr:col>
      <xdr:colOff>615758</xdr:colOff>
      <xdr:row>28</xdr:row>
      <xdr:rowOff>120314</xdr:rowOff>
    </xdr:to>
    <mc:AlternateContent xmlns:mc="http://schemas.openxmlformats.org/markup-compatibility/2006">
      <mc:Choice xmlns:cx2="http://schemas.microsoft.com/office/drawing/2015/10/21/chartex" Requires="cx2">
        <xdr:graphicFrame macro="">
          <xdr:nvGraphicFramePr>
            <xdr:cNvPr id="136" name="Chart 135">
              <a:extLst>
                <a:ext uri="{FF2B5EF4-FFF2-40B4-BE49-F238E27FC236}">
                  <a16:creationId xmlns:a16="http://schemas.microsoft.com/office/drawing/2014/main" id="{5A0000F5-A510-4AA1-81A1-FECE32958E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2"/>
            </a:graphicData>
          </a:graphic>
        </xdr:graphicFrame>
      </mc:Choice>
      <mc:Fallback>
        <xdr:sp macro="" textlink="">
          <xdr:nvSpPr>
            <xdr:cNvPr id="0" name=""/>
            <xdr:cNvSpPr>
              <a:spLocks noTextEdit="1"/>
            </xdr:cNvSpPr>
          </xdr:nvSpPr>
          <xdr:spPr>
            <a:xfrm>
              <a:off x="4784052" y="3257550"/>
              <a:ext cx="2308706" cy="1930064"/>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388686</xdr:colOff>
      <xdr:row>11</xdr:row>
      <xdr:rowOff>43186</xdr:rowOff>
    </xdr:from>
    <xdr:to>
      <xdr:col>20</xdr:col>
      <xdr:colOff>3838</xdr:colOff>
      <xdr:row>20</xdr:row>
      <xdr:rowOff>149914</xdr:rowOff>
    </xdr:to>
    <mc:AlternateContent xmlns:mc="http://schemas.openxmlformats.org/markup-compatibility/2006" xmlns:a14="http://schemas.microsoft.com/office/drawing/2010/main">
      <mc:Choice Requires="a14">
        <xdr:graphicFrame macro="">
          <xdr:nvGraphicFramePr>
            <xdr:cNvPr id="138" name="Doctor Name">
              <a:extLst>
                <a:ext uri="{FF2B5EF4-FFF2-40B4-BE49-F238E27FC236}">
                  <a16:creationId xmlns:a16="http://schemas.microsoft.com/office/drawing/2014/main" id="{CA17B0D8-F393-4C6E-92D7-1DE015C8653A}"/>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0730115" y="2021082"/>
              <a:ext cx="2200509" cy="17250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408802</xdr:colOff>
      <xdr:row>21</xdr:row>
      <xdr:rowOff>13153</xdr:rowOff>
    </xdr:from>
    <xdr:to>
      <xdr:col>19</xdr:col>
      <xdr:colOff>641430</xdr:colOff>
      <xdr:row>28</xdr:row>
      <xdr:rowOff>174944</xdr:rowOff>
    </xdr:to>
    <mc:AlternateContent xmlns:mc="http://schemas.openxmlformats.org/markup-compatibility/2006" xmlns:a14="http://schemas.microsoft.com/office/drawing/2010/main">
      <mc:Choice Requires="a14">
        <xdr:graphicFrame macro="">
          <xdr:nvGraphicFramePr>
            <xdr:cNvPr id="139" name="Treatment Type">
              <a:extLst>
                <a:ext uri="{FF2B5EF4-FFF2-40B4-BE49-F238E27FC236}">
                  <a16:creationId xmlns:a16="http://schemas.microsoft.com/office/drawing/2014/main" id="{DE62322A-09A4-4051-ABCE-6DEC5F8D596F}"/>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750231" y="3789136"/>
              <a:ext cx="2171646" cy="14204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C2403F98E801E9A3/Documents/10Alytics%20assignments/Capstone%20Project%20-%20hospital_patient_dataset_400%20(.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d.docs.live.net/C2403F98E801E9A3/Documents/10Alytics%20assignments/Capstone%20Project%20-%20hospital_patient_dataset_400%20(.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lendor Grandeur" refreshedDate="46164.268597685186" createdVersion="8" refreshedVersion="8" minRefreshableVersion="3" recordCount="400" xr:uid="{4DF869B7-E29E-47BF-A296-A1051F6057F1}">
  <cacheSource type="worksheet">
    <worksheetSource name="Table1" r:id="rId2"/>
  </cacheSource>
  <cacheFields count="15">
    <cacheField name="Patient ID" numFmtId="0">
      <sharedItems count="4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Age Group" numFmtId="0">
      <sharedItems count="10">
        <s v="Young Adult"/>
        <s v="Child"/>
        <s v="Elder"/>
        <s v="Middle Aged"/>
        <s v="Adult"/>
        <s v="Senior"/>
        <s v="Teenager"/>
        <s v="Youth" u="1"/>
        <s v="Elders" u="1"/>
        <s v="Seniors" u="1"/>
      </sharedItems>
    </cacheField>
    <cacheField name="Column1" numFmtId="0">
      <sharedItems/>
    </cacheField>
    <cacheField name="Group" numFmtId="0">
      <sharedItems count="7">
        <s v="Adult"/>
        <s v="Infant"/>
        <s v="Elderly"/>
        <s v="Child"/>
        <s v="Middle Age"/>
        <s v="Youth"/>
        <s v="Teenager"/>
      </sharedItems>
    </cacheField>
    <cacheField name="Treatment Cost" numFmtId="164">
      <sharedItems containsSemiMixedTypes="0" containsString="0" containsNumber="1" containsInteger="1" minValue="219" maxValue="19824"/>
    </cacheField>
    <cacheField name="Cost Pattern" numFmtId="164">
      <sharedItems count="5">
        <s v="High Cost"/>
        <s v="Moderate Cost"/>
        <s v="Critical Cost"/>
        <s v="Low Cost"/>
        <s v="Ver High Cost"/>
      </sharedItems>
    </cacheField>
    <cacheField name="Hospital Stay (Days)" numFmtId="0">
      <sharedItems containsSemiMixedTypes="0" containsString="0" containsNumber="1" containsInteger="1" minValue="1" maxValue="15" count="15">
        <n v="7"/>
        <n v="8"/>
        <n v="13"/>
        <n v="1"/>
        <n v="3"/>
        <n v="9"/>
        <n v="2"/>
        <n v="5"/>
        <n v="4"/>
        <n v="15"/>
        <n v="6"/>
        <n v="10"/>
        <n v="11"/>
        <n v="14"/>
        <n v="12"/>
      </sharedItems>
    </cacheField>
    <cacheField name="Lenght of stays" numFmtId="0">
      <sharedItems count="5">
        <s v="Moderate Stay"/>
        <s v="very Long Stay"/>
        <s v="Very Short Stay"/>
        <s v="Short Stay"/>
        <s v="Long Stay"/>
      </sharedItems>
    </cacheField>
    <cacheField name="Recovery Score" numFmtId="0">
      <sharedItems containsSemiMixedTypes="0" containsString="0" containsNumber="1" containsInteger="1" minValue="50" maxValue="100" count="51">
        <n v="97"/>
        <n v="64"/>
        <n v="76"/>
        <n v="94"/>
        <n v="74"/>
        <n v="84"/>
        <n v="86"/>
        <n v="56"/>
        <n v="72"/>
        <n v="60"/>
        <n v="67"/>
        <n v="75"/>
        <n v="81"/>
        <n v="77"/>
        <n v="85"/>
        <n v="99"/>
        <n v="96"/>
        <n v="90"/>
        <n v="50"/>
        <n v="53"/>
        <n v="88"/>
        <n v="54"/>
        <n v="65"/>
        <n v="79"/>
        <n v="91"/>
        <n v="92"/>
        <n v="89"/>
        <n v="66"/>
        <n v="95"/>
        <n v="58"/>
        <n v="93"/>
        <n v="100"/>
        <n v="52"/>
        <n v="82"/>
        <n v="70"/>
        <n v="69"/>
        <n v="78"/>
        <n v="98"/>
        <n v="51"/>
        <n v="61"/>
        <n v="63"/>
        <n v="83"/>
        <n v="68"/>
        <n v="80"/>
        <n v="59"/>
        <n v="57"/>
        <n v="55"/>
        <n v="71"/>
        <n v="73"/>
        <n v="62"/>
        <n v="87"/>
      </sharedItems>
    </cacheField>
    <cacheField name="Treatment Effectiveness" numFmtId="0">
      <sharedItems count="4">
        <s v="Effective"/>
        <s v="Moderately Effective"/>
        <s v="Less Effective"/>
        <s v="Highly Effective"/>
      </sharedItems>
    </cacheField>
  </cacheFields>
  <extLst>
    <ext xmlns:x14="http://schemas.microsoft.com/office/spreadsheetml/2009/9/main" uri="{725AE2AE-9491-48be-B2B4-4EB974FC3084}">
      <x14:pivotCacheDefinition pivotCacheId="4689130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lendor Grandeur" refreshedDate="46164.268597685186" createdVersion="8" refreshedVersion="8" minRefreshableVersion="3" recordCount="400" xr:uid="{CD8884E9-1025-4B20-ABB3-DB0139ED051B}">
  <cacheSource type="worksheet">
    <worksheetSource name="Table1" r:id="rId2"/>
  </cacheSource>
  <cacheFields count="15">
    <cacheField name="Patient ID" numFmtId="0">
      <sharedItems count="4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Age Group" numFmtId="0">
      <sharedItems count="10">
        <s v="Young Adult"/>
        <s v="Child"/>
        <s v="Elder"/>
        <s v="Middle Aged"/>
        <s v="Adult"/>
        <s v="Senior"/>
        <s v="Teenager"/>
        <s v="Youth" u="1"/>
        <s v="Elders" u="1"/>
        <s v="Seniors" u="1"/>
      </sharedItems>
    </cacheField>
    <cacheField name="Column1" numFmtId="0">
      <sharedItems/>
    </cacheField>
    <cacheField name="Group" numFmtId="0">
      <sharedItems count="7">
        <s v="Adult"/>
        <s v="Infant"/>
        <s v="Elderly"/>
        <s v="Child"/>
        <s v="Middle Age"/>
        <s v="Youth"/>
        <s v="Teenager"/>
      </sharedItems>
    </cacheField>
    <cacheField name="Treatment Cost" numFmtId="164">
      <sharedItems containsSemiMixedTypes="0" containsString="0" containsNumber="1" containsInteger="1" minValue="219" maxValue="19824"/>
    </cacheField>
    <cacheField name="Cost Pattern" numFmtId="164">
      <sharedItems count="5">
        <s v="High Cost"/>
        <s v="Moderate Cost"/>
        <s v="Critical Cost"/>
        <s v="Low Cost"/>
        <s v="Ver High Cost"/>
      </sharedItems>
    </cacheField>
    <cacheField name="Hospital Stay (Days)" numFmtId="0">
      <sharedItems containsSemiMixedTypes="0" containsString="0" containsNumber="1" containsInteger="1" minValue="1" maxValue="15" count="15">
        <n v="7"/>
        <n v="8"/>
        <n v="13"/>
        <n v="1"/>
        <n v="3"/>
        <n v="9"/>
        <n v="2"/>
        <n v="5"/>
        <n v="4"/>
        <n v="15"/>
        <n v="6"/>
        <n v="10"/>
        <n v="11"/>
        <n v="14"/>
        <n v="12"/>
      </sharedItems>
    </cacheField>
    <cacheField name="Lenght of stays" numFmtId="0">
      <sharedItems count="5">
        <s v="Moderate Stay"/>
        <s v="very Long Stay"/>
        <s v="Very Short Stay"/>
        <s v="Short Stay"/>
        <s v="Long Stay"/>
      </sharedItems>
    </cacheField>
    <cacheField name="Recovery Score" numFmtId="0">
      <sharedItems containsSemiMixedTypes="0" containsString="0" containsNumber="1" containsInteger="1" minValue="50" maxValue="100" count="51">
        <n v="97"/>
        <n v="64"/>
        <n v="76"/>
        <n v="94"/>
        <n v="74"/>
        <n v="84"/>
        <n v="86"/>
        <n v="56"/>
        <n v="72"/>
        <n v="60"/>
        <n v="67"/>
        <n v="75"/>
        <n v="81"/>
        <n v="77"/>
        <n v="85"/>
        <n v="99"/>
        <n v="96"/>
        <n v="90"/>
        <n v="50"/>
        <n v="53"/>
        <n v="88"/>
        <n v="54"/>
        <n v="65"/>
        <n v="79"/>
        <n v="91"/>
        <n v="92"/>
        <n v="89"/>
        <n v="66"/>
        <n v="95"/>
        <n v="58"/>
        <n v="93"/>
        <n v="100"/>
        <n v="52"/>
        <n v="82"/>
        <n v="70"/>
        <n v="69"/>
        <n v="78"/>
        <n v="98"/>
        <n v="51"/>
        <n v="61"/>
        <n v="63"/>
        <n v="83"/>
        <n v="68"/>
        <n v="80"/>
        <n v="59"/>
        <n v="57"/>
        <n v="55"/>
        <n v="71"/>
        <n v="73"/>
        <n v="62"/>
        <n v="87"/>
      </sharedItems>
    </cacheField>
    <cacheField name="Treatment Effectiveness" numFmtId="0">
      <sharedItems count="4">
        <s v="Effective"/>
        <s v="Moderately Effective"/>
        <s v="Less Effective"/>
        <s v="Highly Effective"/>
      </sharedItems>
    </cacheField>
  </cacheFields>
  <extLst>
    <ext xmlns:x14="http://schemas.microsoft.com/office/spreadsheetml/2009/9/main" uri="{725AE2AE-9491-48be-B2B4-4EB974FC3084}">
      <x14:pivotCacheDefinition pivotCacheId="1701687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x v="0"/>
    <n v="32"/>
    <x v="0"/>
    <s v="Adult"/>
    <x v="0"/>
    <n v="8657"/>
    <x v="0"/>
    <x v="0"/>
    <x v="0"/>
    <x v="0"/>
    <x v="0"/>
  </r>
  <r>
    <x v="1"/>
    <x v="1"/>
    <x v="0"/>
    <x v="1"/>
    <x v="1"/>
    <n v="4"/>
    <x v="1"/>
    <s v="Infant"/>
    <x v="1"/>
    <n v="6535"/>
    <x v="1"/>
    <x v="1"/>
    <x v="0"/>
    <x v="1"/>
    <x v="1"/>
  </r>
  <r>
    <x v="2"/>
    <x v="2"/>
    <x v="0"/>
    <x v="2"/>
    <x v="1"/>
    <n v="84"/>
    <x v="2"/>
    <s v="Elderly"/>
    <x v="2"/>
    <n v="16490"/>
    <x v="2"/>
    <x v="2"/>
    <x v="1"/>
    <x v="2"/>
    <x v="2"/>
  </r>
  <r>
    <x v="3"/>
    <x v="3"/>
    <x v="1"/>
    <x v="1"/>
    <x v="1"/>
    <n v="1"/>
    <x v="1"/>
    <s v="Infant"/>
    <x v="1"/>
    <n v="1754"/>
    <x v="3"/>
    <x v="3"/>
    <x v="2"/>
    <x v="3"/>
    <x v="3"/>
  </r>
  <r>
    <x v="4"/>
    <x v="4"/>
    <x v="2"/>
    <x v="3"/>
    <x v="1"/>
    <n v="44"/>
    <x v="3"/>
    <s v="Adult"/>
    <x v="0"/>
    <n v="1837"/>
    <x v="3"/>
    <x v="4"/>
    <x v="2"/>
    <x v="4"/>
    <x v="0"/>
  </r>
  <r>
    <x v="5"/>
    <x v="1"/>
    <x v="2"/>
    <x v="4"/>
    <x v="0"/>
    <n v="6"/>
    <x v="1"/>
    <s v="Child"/>
    <x v="3"/>
    <n v="6977"/>
    <x v="1"/>
    <x v="5"/>
    <x v="0"/>
    <x v="5"/>
    <x v="0"/>
  </r>
  <r>
    <x v="6"/>
    <x v="1"/>
    <x v="1"/>
    <x v="5"/>
    <x v="0"/>
    <n v="81"/>
    <x v="2"/>
    <s v="Elderly"/>
    <x v="2"/>
    <n v="1466"/>
    <x v="3"/>
    <x v="6"/>
    <x v="2"/>
    <x v="6"/>
    <x v="3"/>
  </r>
  <r>
    <x v="7"/>
    <x v="3"/>
    <x v="0"/>
    <x v="0"/>
    <x v="0"/>
    <n v="38"/>
    <x v="3"/>
    <s v="Adult"/>
    <x v="0"/>
    <n v="6307"/>
    <x v="1"/>
    <x v="1"/>
    <x v="0"/>
    <x v="7"/>
    <x v="1"/>
  </r>
  <r>
    <x v="8"/>
    <x v="4"/>
    <x v="2"/>
    <x v="6"/>
    <x v="0"/>
    <n v="47"/>
    <x v="3"/>
    <s v="Middle Age"/>
    <x v="4"/>
    <n v="2332"/>
    <x v="3"/>
    <x v="0"/>
    <x v="0"/>
    <x v="8"/>
    <x v="0"/>
  </r>
  <r>
    <x v="9"/>
    <x v="3"/>
    <x v="2"/>
    <x v="5"/>
    <x v="0"/>
    <n v="22"/>
    <x v="0"/>
    <s v="Youth"/>
    <x v="5"/>
    <n v="5375"/>
    <x v="1"/>
    <x v="7"/>
    <x v="3"/>
    <x v="9"/>
    <x v="1"/>
  </r>
  <r>
    <x v="10"/>
    <x v="4"/>
    <x v="1"/>
    <x v="3"/>
    <x v="2"/>
    <n v="82"/>
    <x v="2"/>
    <s v="Elderly"/>
    <x v="2"/>
    <n v="1609"/>
    <x v="3"/>
    <x v="4"/>
    <x v="2"/>
    <x v="1"/>
    <x v="1"/>
  </r>
  <r>
    <x v="11"/>
    <x v="0"/>
    <x v="2"/>
    <x v="0"/>
    <x v="1"/>
    <n v="5"/>
    <x v="1"/>
    <s v="Infant"/>
    <x v="1"/>
    <n v="3584"/>
    <x v="1"/>
    <x v="1"/>
    <x v="0"/>
    <x v="10"/>
    <x v="1"/>
  </r>
  <r>
    <x v="12"/>
    <x v="1"/>
    <x v="3"/>
    <x v="1"/>
    <x v="0"/>
    <n v="41"/>
    <x v="3"/>
    <s v="Adult"/>
    <x v="0"/>
    <n v="2241"/>
    <x v="3"/>
    <x v="8"/>
    <x v="3"/>
    <x v="11"/>
    <x v="0"/>
  </r>
  <r>
    <x v="13"/>
    <x v="0"/>
    <x v="1"/>
    <x v="7"/>
    <x v="1"/>
    <n v="32"/>
    <x v="0"/>
    <s v="Adult"/>
    <x v="0"/>
    <n v="1725"/>
    <x v="3"/>
    <x v="4"/>
    <x v="2"/>
    <x v="5"/>
    <x v="0"/>
  </r>
  <r>
    <x v="14"/>
    <x v="5"/>
    <x v="1"/>
    <x v="1"/>
    <x v="1"/>
    <n v="29"/>
    <x v="0"/>
    <s v="Youth"/>
    <x v="5"/>
    <n v="483"/>
    <x v="3"/>
    <x v="4"/>
    <x v="2"/>
    <x v="12"/>
    <x v="0"/>
  </r>
  <r>
    <x v="15"/>
    <x v="1"/>
    <x v="0"/>
    <x v="5"/>
    <x v="1"/>
    <n v="21"/>
    <x v="0"/>
    <s v="Youth"/>
    <x v="5"/>
    <n v="17977"/>
    <x v="2"/>
    <x v="9"/>
    <x v="1"/>
    <x v="13"/>
    <x v="2"/>
  </r>
  <r>
    <x v="16"/>
    <x v="2"/>
    <x v="0"/>
    <x v="8"/>
    <x v="1"/>
    <n v="60"/>
    <x v="4"/>
    <s v="Middle Age"/>
    <x v="4"/>
    <n v="13669"/>
    <x v="4"/>
    <x v="5"/>
    <x v="0"/>
    <x v="14"/>
    <x v="0"/>
  </r>
  <r>
    <x v="17"/>
    <x v="6"/>
    <x v="0"/>
    <x v="5"/>
    <x v="0"/>
    <n v="69"/>
    <x v="5"/>
    <s v="Elderly"/>
    <x v="2"/>
    <n v="17302"/>
    <x v="2"/>
    <x v="5"/>
    <x v="0"/>
    <x v="15"/>
    <x v="0"/>
  </r>
  <r>
    <x v="18"/>
    <x v="0"/>
    <x v="2"/>
    <x v="5"/>
    <x v="1"/>
    <n v="21"/>
    <x v="0"/>
    <s v="Youth"/>
    <x v="5"/>
    <n v="4716"/>
    <x v="1"/>
    <x v="6"/>
    <x v="2"/>
    <x v="16"/>
    <x v="3"/>
  </r>
  <r>
    <x v="19"/>
    <x v="0"/>
    <x v="2"/>
    <x v="2"/>
    <x v="0"/>
    <n v="65"/>
    <x v="5"/>
    <s v="Elderly"/>
    <x v="2"/>
    <n v="1871"/>
    <x v="3"/>
    <x v="10"/>
    <x v="3"/>
    <x v="17"/>
    <x v="0"/>
  </r>
  <r>
    <x v="20"/>
    <x v="2"/>
    <x v="3"/>
    <x v="7"/>
    <x v="1"/>
    <n v="21"/>
    <x v="0"/>
    <s v="Youth"/>
    <x v="5"/>
    <n v="4918"/>
    <x v="1"/>
    <x v="7"/>
    <x v="3"/>
    <x v="18"/>
    <x v="1"/>
  </r>
  <r>
    <x v="21"/>
    <x v="2"/>
    <x v="2"/>
    <x v="6"/>
    <x v="1"/>
    <n v="47"/>
    <x v="3"/>
    <s v="Middle Age"/>
    <x v="4"/>
    <n v="3519"/>
    <x v="1"/>
    <x v="7"/>
    <x v="3"/>
    <x v="19"/>
    <x v="1"/>
  </r>
  <r>
    <x v="22"/>
    <x v="3"/>
    <x v="0"/>
    <x v="5"/>
    <x v="0"/>
    <n v="9"/>
    <x v="1"/>
    <s v="Child"/>
    <x v="3"/>
    <n v="17461"/>
    <x v="2"/>
    <x v="2"/>
    <x v="1"/>
    <x v="15"/>
    <x v="2"/>
  </r>
  <r>
    <x v="23"/>
    <x v="3"/>
    <x v="3"/>
    <x v="6"/>
    <x v="0"/>
    <n v="22"/>
    <x v="0"/>
    <s v="Youth"/>
    <x v="5"/>
    <n v="2671"/>
    <x v="3"/>
    <x v="7"/>
    <x v="3"/>
    <x v="20"/>
    <x v="3"/>
  </r>
  <r>
    <x v="24"/>
    <x v="4"/>
    <x v="3"/>
    <x v="2"/>
    <x v="0"/>
    <n v="89"/>
    <x v="2"/>
    <s v="Elderly"/>
    <x v="2"/>
    <n v="2147"/>
    <x v="3"/>
    <x v="4"/>
    <x v="2"/>
    <x v="11"/>
    <x v="0"/>
  </r>
  <r>
    <x v="25"/>
    <x v="0"/>
    <x v="2"/>
    <x v="6"/>
    <x v="0"/>
    <n v="58"/>
    <x v="4"/>
    <s v="Middle Age"/>
    <x v="4"/>
    <n v="1991"/>
    <x v="3"/>
    <x v="7"/>
    <x v="3"/>
    <x v="1"/>
    <x v="1"/>
  </r>
  <r>
    <x v="26"/>
    <x v="1"/>
    <x v="2"/>
    <x v="0"/>
    <x v="0"/>
    <n v="30"/>
    <x v="0"/>
    <s v="Adult"/>
    <x v="0"/>
    <n v="5820"/>
    <x v="1"/>
    <x v="7"/>
    <x v="3"/>
    <x v="18"/>
    <x v="1"/>
  </r>
  <r>
    <x v="27"/>
    <x v="1"/>
    <x v="0"/>
    <x v="9"/>
    <x v="1"/>
    <n v="5"/>
    <x v="1"/>
    <s v="Infant"/>
    <x v="1"/>
    <n v="19084"/>
    <x v="2"/>
    <x v="11"/>
    <x v="4"/>
    <x v="21"/>
    <x v="1"/>
  </r>
  <r>
    <x v="28"/>
    <x v="2"/>
    <x v="3"/>
    <x v="3"/>
    <x v="0"/>
    <n v="28"/>
    <x v="0"/>
    <s v="Youth"/>
    <x v="5"/>
    <n v="4917"/>
    <x v="1"/>
    <x v="6"/>
    <x v="2"/>
    <x v="16"/>
    <x v="3"/>
  </r>
  <r>
    <x v="29"/>
    <x v="2"/>
    <x v="1"/>
    <x v="9"/>
    <x v="0"/>
    <n v="53"/>
    <x v="4"/>
    <s v="Middle Age"/>
    <x v="4"/>
    <n v="589"/>
    <x v="3"/>
    <x v="3"/>
    <x v="2"/>
    <x v="7"/>
    <x v="1"/>
  </r>
  <r>
    <x v="30"/>
    <x v="0"/>
    <x v="1"/>
    <x v="4"/>
    <x v="1"/>
    <n v="60"/>
    <x v="4"/>
    <s v="Middle Age"/>
    <x v="4"/>
    <n v="1969"/>
    <x v="3"/>
    <x v="4"/>
    <x v="2"/>
    <x v="19"/>
    <x v="1"/>
  </r>
  <r>
    <x v="31"/>
    <x v="0"/>
    <x v="0"/>
    <x v="0"/>
    <x v="1"/>
    <n v="44"/>
    <x v="3"/>
    <s v="Adult"/>
    <x v="0"/>
    <n v="18116"/>
    <x v="2"/>
    <x v="10"/>
    <x v="3"/>
    <x v="22"/>
    <x v="1"/>
  </r>
  <r>
    <x v="32"/>
    <x v="3"/>
    <x v="3"/>
    <x v="2"/>
    <x v="1"/>
    <n v="55"/>
    <x v="4"/>
    <s v="Middle Age"/>
    <x v="4"/>
    <n v="2003"/>
    <x v="3"/>
    <x v="4"/>
    <x v="2"/>
    <x v="23"/>
    <x v="0"/>
  </r>
  <r>
    <x v="33"/>
    <x v="3"/>
    <x v="0"/>
    <x v="6"/>
    <x v="0"/>
    <n v="71"/>
    <x v="5"/>
    <s v="Elderly"/>
    <x v="2"/>
    <n v="6604"/>
    <x v="1"/>
    <x v="7"/>
    <x v="3"/>
    <x v="24"/>
    <x v="3"/>
  </r>
  <r>
    <x v="34"/>
    <x v="2"/>
    <x v="0"/>
    <x v="5"/>
    <x v="0"/>
    <n v="31"/>
    <x v="0"/>
    <s v="Adult"/>
    <x v="0"/>
    <n v="7724"/>
    <x v="0"/>
    <x v="12"/>
    <x v="4"/>
    <x v="12"/>
    <x v="1"/>
  </r>
  <r>
    <x v="35"/>
    <x v="4"/>
    <x v="3"/>
    <x v="8"/>
    <x v="0"/>
    <n v="22"/>
    <x v="0"/>
    <s v="Youth"/>
    <x v="5"/>
    <n v="3604"/>
    <x v="1"/>
    <x v="3"/>
    <x v="2"/>
    <x v="4"/>
    <x v="0"/>
  </r>
  <r>
    <x v="36"/>
    <x v="5"/>
    <x v="1"/>
    <x v="3"/>
    <x v="1"/>
    <n v="72"/>
    <x v="5"/>
    <s v="Elderly"/>
    <x v="2"/>
    <n v="1555"/>
    <x v="3"/>
    <x v="4"/>
    <x v="2"/>
    <x v="12"/>
    <x v="0"/>
  </r>
  <r>
    <x v="37"/>
    <x v="3"/>
    <x v="3"/>
    <x v="3"/>
    <x v="1"/>
    <n v="8"/>
    <x v="1"/>
    <s v="Child"/>
    <x v="3"/>
    <n v="4941"/>
    <x v="1"/>
    <x v="3"/>
    <x v="2"/>
    <x v="0"/>
    <x v="3"/>
  </r>
  <r>
    <x v="38"/>
    <x v="5"/>
    <x v="0"/>
    <x v="0"/>
    <x v="0"/>
    <n v="65"/>
    <x v="5"/>
    <s v="Elderly"/>
    <x v="2"/>
    <n v="18970"/>
    <x v="2"/>
    <x v="2"/>
    <x v="1"/>
    <x v="9"/>
    <x v="2"/>
  </r>
  <r>
    <x v="39"/>
    <x v="1"/>
    <x v="0"/>
    <x v="7"/>
    <x v="1"/>
    <n v="9"/>
    <x v="1"/>
    <s v="Child"/>
    <x v="3"/>
    <n v="16062"/>
    <x v="2"/>
    <x v="1"/>
    <x v="0"/>
    <x v="11"/>
    <x v="0"/>
  </r>
  <r>
    <x v="40"/>
    <x v="1"/>
    <x v="3"/>
    <x v="1"/>
    <x v="0"/>
    <n v="80"/>
    <x v="2"/>
    <s v="Elderly"/>
    <x v="2"/>
    <n v="1171"/>
    <x v="3"/>
    <x v="8"/>
    <x v="3"/>
    <x v="25"/>
    <x v="3"/>
  </r>
  <r>
    <x v="41"/>
    <x v="2"/>
    <x v="2"/>
    <x v="3"/>
    <x v="1"/>
    <n v="41"/>
    <x v="3"/>
    <s v="Adult"/>
    <x v="0"/>
    <n v="2955"/>
    <x v="3"/>
    <x v="10"/>
    <x v="3"/>
    <x v="11"/>
    <x v="0"/>
  </r>
  <r>
    <x v="42"/>
    <x v="3"/>
    <x v="2"/>
    <x v="6"/>
    <x v="1"/>
    <n v="10"/>
    <x v="1"/>
    <s v="Child"/>
    <x v="3"/>
    <n v="1076"/>
    <x v="3"/>
    <x v="5"/>
    <x v="0"/>
    <x v="26"/>
    <x v="0"/>
  </r>
  <r>
    <x v="43"/>
    <x v="2"/>
    <x v="0"/>
    <x v="5"/>
    <x v="0"/>
    <n v="65"/>
    <x v="5"/>
    <s v="Elderly"/>
    <x v="2"/>
    <n v="9345"/>
    <x v="0"/>
    <x v="0"/>
    <x v="0"/>
    <x v="8"/>
    <x v="0"/>
  </r>
  <r>
    <x v="44"/>
    <x v="1"/>
    <x v="3"/>
    <x v="4"/>
    <x v="1"/>
    <n v="57"/>
    <x v="4"/>
    <s v="Middle Age"/>
    <x v="4"/>
    <n v="4950"/>
    <x v="1"/>
    <x v="4"/>
    <x v="2"/>
    <x v="26"/>
    <x v="3"/>
  </r>
  <r>
    <x v="45"/>
    <x v="6"/>
    <x v="0"/>
    <x v="2"/>
    <x v="1"/>
    <n v="85"/>
    <x v="2"/>
    <s v="Elderly"/>
    <x v="2"/>
    <n v="6697"/>
    <x v="1"/>
    <x v="0"/>
    <x v="0"/>
    <x v="27"/>
    <x v="1"/>
  </r>
  <r>
    <x v="46"/>
    <x v="1"/>
    <x v="0"/>
    <x v="2"/>
    <x v="1"/>
    <n v="37"/>
    <x v="3"/>
    <s v="Adult"/>
    <x v="0"/>
    <n v="14909"/>
    <x v="4"/>
    <x v="1"/>
    <x v="0"/>
    <x v="28"/>
    <x v="0"/>
  </r>
  <r>
    <x v="47"/>
    <x v="5"/>
    <x v="3"/>
    <x v="3"/>
    <x v="0"/>
    <n v="33"/>
    <x v="0"/>
    <s v="Adult"/>
    <x v="0"/>
    <n v="916"/>
    <x v="3"/>
    <x v="3"/>
    <x v="2"/>
    <x v="17"/>
    <x v="3"/>
  </r>
  <r>
    <x v="48"/>
    <x v="4"/>
    <x v="2"/>
    <x v="0"/>
    <x v="1"/>
    <n v="17"/>
    <x v="6"/>
    <s v="Teenager"/>
    <x v="6"/>
    <n v="6219"/>
    <x v="1"/>
    <x v="10"/>
    <x v="3"/>
    <x v="9"/>
    <x v="1"/>
  </r>
  <r>
    <x v="49"/>
    <x v="0"/>
    <x v="1"/>
    <x v="2"/>
    <x v="0"/>
    <n v="72"/>
    <x v="5"/>
    <s v="Elderly"/>
    <x v="2"/>
    <n v="219"/>
    <x v="3"/>
    <x v="3"/>
    <x v="2"/>
    <x v="21"/>
    <x v="1"/>
  </r>
  <r>
    <x v="50"/>
    <x v="0"/>
    <x v="3"/>
    <x v="2"/>
    <x v="1"/>
    <n v="48"/>
    <x v="3"/>
    <s v="Middle Age"/>
    <x v="4"/>
    <n v="1713"/>
    <x v="3"/>
    <x v="8"/>
    <x v="3"/>
    <x v="29"/>
    <x v="1"/>
  </r>
  <r>
    <x v="51"/>
    <x v="1"/>
    <x v="2"/>
    <x v="4"/>
    <x v="0"/>
    <n v="6"/>
    <x v="1"/>
    <s v="Child"/>
    <x v="3"/>
    <n v="3931"/>
    <x v="1"/>
    <x v="7"/>
    <x v="3"/>
    <x v="30"/>
    <x v="3"/>
  </r>
  <r>
    <x v="52"/>
    <x v="3"/>
    <x v="0"/>
    <x v="4"/>
    <x v="0"/>
    <n v="53"/>
    <x v="4"/>
    <s v="Middle Age"/>
    <x v="4"/>
    <n v="15168"/>
    <x v="2"/>
    <x v="0"/>
    <x v="0"/>
    <x v="22"/>
    <x v="1"/>
  </r>
  <r>
    <x v="53"/>
    <x v="6"/>
    <x v="3"/>
    <x v="7"/>
    <x v="0"/>
    <n v="4"/>
    <x v="1"/>
    <s v="Infant"/>
    <x v="1"/>
    <n v="1969"/>
    <x v="3"/>
    <x v="4"/>
    <x v="2"/>
    <x v="31"/>
    <x v="3"/>
  </r>
  <r>
    <x v="54"/>
    <x v="4"/>
    <x v="3"/>
    <x v="3"/>
    <x v="1"/>
    <n v="90"/>
    <x v="2"/>
    <s v="Elderly"/>
    <x v="2"/>
    <n v="1385"/>
    <x v="3"/>
    <x v="8"/>
    <x v="3"/>
    <x v="32"/>
    <x v="1"/>
  </r>
  <r>
    <x v="55"/>
    <x v="6"/>
    <x v="1"/>
    <x v="9"/>
    <x v="1"/>
    <n v="59"/>
    <x v="4"/>
    <s v="Middle Age"/>
    <x v="4"/>
    <n v="916"/>
    <x v="3"/>
    <x v="6"/>
    <x v="2"/>
    <x v="31"/>
    <x v="3"/>
  </r>
  <r>
    <x v="56"/>
    <x v="6"/>
    <x v="3"/>
    <x v="9"/>
    <x v="1"/>
    <n v="25"/>
    <x v="0"/>
    <s v="Youth"/>
    <x v="5"/>
    <n v="3764"/>
    <x v="1"/>
    <x v="4"/>
    <x v="2"/>
    <x v="10"/>
    <x v="1"/>
  </r>
  <r>
    <x v="57"/>
    <x v="6"/>
    <x v="0"/>
    <x v="3"/>
    <x v="1"/>
    <n v="66"/>
    <x v="5"/>
    <s v="Elderly"/>
    <x v="2"/>
    <n v="11548"/>
    <x v="4"/>
    <x v="9"/>
    <x v="1"/>
    <x v="5"/>
    <x v="2"/>
  </r>
  <r>
    <x v="58"/>
    <x v="5"/>
    <x v="0"/>
    <x v="5"/>
    <x v="0"/>
    <n v="34"/>
    <x v="0"/>
    <s v="Adult"/>
    <x v="0"/>
    <n v="7925"/>
    <x v="0"/>
    <x v="13"/>
    <x v="1"/>
    <x v="27"/>
    <x v="2"/>
  </r>
  <r>
    <x v="59"/>
    <x v="1"/>
    <x v="0"/>
    <x v="1"/>
    <x v="1"/>
    <n v="41"/>
    <x v="3"/>
    <s v="Adult"/>
    <x v="0"/>
    <n v="12149"/>
    <x v="4"/>
    <x v="13"/>
    <x v="1"/>
    <x v="33"/>
    <x v="2"/>
  </r>
  <r>
    <x v="60"/>
    <x v="1"/>
    <x v="1"/>
    <x v="1"/>
    <x v="1"/>
    <n v="6"/>
    <x v="1"/>
    <s v="Child"/>
    <x v="3"/>
    <n v="1651"/>
    <x v="3"/>
    <x v="6"/>
    <x v="2"/>
    <x v="18"/>
    <x v="1"/>
  </r>
  <r>
    <x v="61"/>
    <x v="2"/>
    <x v="3"/>
    <x v="4"/>
    <x v="1"/>
    <n v="86"/>
    <x v="2"/>
    <s v="Elderly"/>
    <x v="2"/>
    <n v="3204"/>
    <x v="1"/>
    <x v="7"/>
    <x v="3"/>
    <x v="34"/>
    <x v="0"/>
  </r>
  <r>
    <x v="62"/>
    <x v="0"/>
    <x v="0"/>
    <x v="3"/>
    <x v="0"/>
    <n v="86"/>
    <x v="2"/>
    <s v="Elderly"/>
    <x v="2"/>
    <n v="11691"/>
    <x v="4"/>
    <x v="11"/>
    <x v="4"/>
    <x v="11"/>
    <x v="1"/>
  </r>
  <r>
    <x v="63"/>
    <x v="0"/>
    <x v="2"/>
    <x v="2"/>
    <x v="1"/>
    <n v="54"/>
    <x v="4"/>
    <s v="Middle Age"/>
    <x v="4"/>
    <n v="6447"/>
    <x v="1"/>
    <x v="1"/>
    <x v="0"/>
    <x v="30"/>
    <x v="0"/>
  </r>
  <r>
    <x v="64"/>
    <x v="0"/>
    <x v="3"/>
    <x v="1"/>
    <x v="0"/>
    <n v="52"/>
    <x v="4"/>
    <s v="Middle Age"/>
    <x v="4"/>
    <n v="4988"/>
    <x v="1"/>
    <x v="3"/>
    <x v="2"/>
    <x v="35"/>
    <x v="1"/>
  </r>
  <r>
    <x v="65"/>
    <x v="5"/>
    <x v="3"/>
    <x v="8"/>
    <x v="0"/>
    <n v="78"/>
    <x v="5"/>
    <s v="Elderly"/>
    <x v="2"/>
    <n v="3139"/>
    <x v="1"/>
    <x v="8"/>
    <x v="3"/>
    <x v="36"/>
    <x v="0"/>
  </r>
  <r>
    <x v="66"/>
    <x v="4"/>
    <x v="3"/>
    <x v="2"/>
    <x v="1"/>
    <n v="22"/>
    <x v="0"/>
    <s v="Youth"/>
    <x v="5"/>
    <n v="1194"/>
    <x v="3"/>
    <x v="4"/>
    <x v="2"/>
    <x v="33"/>
    <x v="0"/>
  </r>
  <r>
    <x v="67"/>
    <x v="0"/>
    <x v="2"/>
    <x v="5"/>
    <x v="0"/>
    <n v="31"/>
    <x v="0"/>
    <s v="Adult"/>
    <x v="0"/>
    <n v="6511"/>
    <x v="1"/>
    <x v="10"/>
    <x v="3"/>
    <x v="1"/>
    <x v="1"/>
  </r>
  <r>
    <x v="68"/>
    <x v="6"/>
    <x v="3"/>
    <x v="7"/>
    <x v="1"/>
    <n v="32"/>
    <x v="0"/>
    <s v="Adult"/>
    <x v="0"/>
    <n v="4392"/>
    <x v="1"/>
    <x v="7"/>
    <x v="3"/>
    <x v="15"/>
    <x v="3"/>
  </r>
  <r>
    <x v="69"/>
    <x v="1"/>
    <x v="1"/>
    <x v="8"/>
    <x v="0"/>
    <n v="74"/>
    <x v="5"/>
    <s v="Elderly"/>
    <x v="2"/>
    <n v="598"/>
    <x v="3"/>
    <x v="4"/>
    <x v="2"/>
    <x v="3"/>
    <x v="3"/>
  </r>
  <r>
    <x v="70"/>
    <x v="4"/>
    <x v="1"/>
    <x v="8"/>
    <x v="1"/>
    <n v="84"/>
    <x v="2"/>
    <s v="Elderly"/>
    <x v="2"/>
    <n v="1608"/>
    <x v="3"/>
    <x v="3"/>
    <x v="2"/>
    <x v="37"/>
    <x v="3"/>
  </r>
  <r>
    <x v="71"/>
    <x v="6"/>
    <x v="0"/>
    <x v="8"/>
    <x v="1"/>
    <n v="90"/>
    <x v="2"/>
    <s v="Elderly"/>
    <x v="2"/>
    <n v="13486"/>
    <x v="4"/>
    <x v="14"/>
    <x v="4"/>
    <x v="19"/>
    <x v="1"/>
  </r>
  <r>
    <x v="72"/>
    <x v="2"/>
    <x v="3"/>
    <x v="5"/>
    <x v="1"/>
    <n v="60"/>
    <x v="4"/>
    <s v="Middle Age"/>
    <x v="4"/>
    <n v="4851"/>
    <x v="1"/>
    <x v="7"/>
    <x v="3"/>
    <x v="20"/>
    <x v="3"/>
  </r>
  <r>
    <x v="73"/>
    <x v="5"/>
    <x v="1"/>
    <x v="1"/>
    <x v="0"/>
    <n v="65"/>
    <x v="5"/>
    <s v="Elderly"/>
    <x v="2"/>
    <n v="1073"/>
    <x v="3"/>
    <x v="4"/>
    <x v="2"/>
    <x v="36"/>
    <x v="0"/>
  </r>
  <r>
    <x v="74"/>
    <x v="3"/>
    <x v="1"/>
    <x v="6"/>
    <x v="1"/>
    <n v="32"/>
    <x v="0"/>
    <s v="Adult"/>
    <x v="0"/>
    <n v="1920"/>
    <x v="3"/>
    <x v="4"/>
    <x v="2"/>
    <x v="10"/>
    <x v="1"/>
  </r>
  <r>
    <x v="75"/>
    <x v="6"/>
    <x v="1"/>
    <x v="9"/>
    <x v="1"/>
    <n v="10"/>
    <x v="1"/>
    <s v="Child"/>
    <x v="3"/>
    <n v="1661"/>
    <x v="3"/>
    <x v="6"/>
    <x v="2"/>
    <x v="22"/>
    <x v="1"/>
  </r>
  <r>
    <x v="76"/>
    <x v="5"/>
    <x v="2"/>
    <x v="4"/>
    <x v="0"/>
    <n v="11"/>
    <x v="1"/>
    <s v="Child"/>
    <x v="3"/>
    <n v="2133"/>
    <x v="3"/>
    <x v="8"/>
    <x v="3"/>
    <x v="1"/>
    <x v="1"/>
  </r>
  <r>
    <x v="77"/>
    <x v="4"/>
    <x v="3"/>
    <x v="9"/>
    <x v="1"/>
    <n v="53"/>
    <x v="4"/>
    <s v="Middle Age"/>
    <x v="4"/>
    <n v="3210"/>
    <x v="1"/>
    <x v="7"/>
    <x v="3"/>
    <x v="23"/>
    <x v="0"/>
  </r>
  <r>
    <x v="78"/>
    <x v="4"/>
    <x v="0"/>
    <x v="9"/>
    <x v="0"/>
    <n v="50"/>
    <x v="4"/>
    <s v="Middle Age"/>
    <x v="4"/>
    <n v="19824"/>
    <x v="2"/>
    <x v="13"/>
    <x v="1"/>
    <x v="3"/>
    <x v="2"/>
  </r>
  <r>
    <x v="79"/>
    <x v="1"/>
    <x v="1"/>
    <x v="6"/>
    <x v="1"/>
    <n v="46"/>
    <x v="3"/>
    <s v="Middle Age"/>
    <x v="4"/>
    <n v="811"/>
    <x v="3"/>
    <x v="6"/>
    <x v="2"/>
    <x v="2"/>
    <x v="0"/>
  </r>
  <r>
    <x v="80"/>
    <x v="2"/>
    <x v="3"/>
    <x v="6"/>
    <x v="1"/>
    <n v="56"/>
    <x v="4"/>
    <s v="Middle Age"/>
    <x v="4"/>
    <n v="4478"/>
    <x v="1"/>
    <x v="3"/>
    <x v="2"/>
    <x v="4"/>
    <x v="0"/>
  </r>
  <r>
    <x v="81"/>
    <x v="5"/>
    <x v="1"/>
    <x v="7"/>
    <x v="0"/>
    <n v="17"/>
    <x v="6"/>
    <s v="Teenager"/>
    <x v="6"/>
    <n v="1474"/>
    <x v="3"/>
    <x v="4"/>
    <x v="2"/>
    <x v="38"/>
    <x v="1"/>
  </r>
  <r>
    <x v="82"/>
    <x v="4"/>
    <x v="0"/>
    <x v="5"/>
    <x v="0"/>
    <n v="18"/>
    <x v="6"/>
    <s v="Teenager"/>
    <x v="6"/>
    <n v="19202"/>
    <x v="2"/>
    <x v="14"/>
    <x v="4"/>
    <x v="39"/>
    <x v="1"/>
  </r>
  <r>
    <x v="83"/>
    <x v="1"/>
    <x v="2"/>
    <x v="8"/>
    <x v="1"/>
    <n v="59"/>
    <x v="4"/>
    <s v="Middle Age"/>
    <x v="4"/>
    <n v="3677"/>
    <x v="1"/>
    <x v="0"/>
    <x v="0"/>
    <x v="37"/>
    <x v="0"/>
  </r>
  <r>
    <x v="84"/>
    <x v="4"/>
    <x v="2"/>
    <x v="8"/>
    <x v="1"/>
    <n v="11"/>
    <x v="1"/>
    <s v="Child"/>
    <x v="3"/>
    <n v="4852"/>
    <x v="1"/>
    <x v="6"/>
    <x v="2"/>
    <x v="0"/>
    <x v="3"/>
  </r>
  <r>
    <x v="85"/>
    <x v="2"/>
    <x v="0"/>
    <x v="4"/>
    <x v="1"/>
    <n v="9"/>
    <x v="1"/>
    <s v="Child"/>
    <x v="3"/>
    <n v="17799"/>
    <x v="2"/>
    <x v="9"/>
    <x v="1"/>
    <x v="32"/>
    <x v="2"/>
  </r>
  <r>
    <x v="86"/>
    <x v="6"/>
    <x v="0"/>
    <x v="9"/>
    <x v="1"/>
    <n v="3"/>
    <x v="1"/>
    <s v="Infant"/>
    <x v="1"/>
    <n v="15179"/>
    <x v="2"/>
    <x v="0"/>
    <x v="0"/>
    <x v="22"/>
    <x v="1"/>
  </r>
  <r>
    <x v="87"/>
    <x v="3"/>
    <x v="1"/>
    <x v="5"/>
    <x v="0"/>
    <n v="28"/>
    <x v="0"/>
    <s v="Youth"/>
    <x v="5"/>
    <n v="1152"/>
    <x v="3"/>
    <x v="4"/>
    <x v="2"/>
    <x v="27"/>
    <x v="1"/>
  </r>
  <r>
    <x v="88"/>
    <x v="6"/>
    <x v="2"/>
    <x v="7"/>
    <x v="0"/>
    <n v="15"/>
    <x v="6"/>
    <s v="Teenager"/>
    <x v="6"/>
    <n v="2341"/>
    <x v="3"/>
    <x v="10"/>
    <x v="3"/>
    <x v="7"/>
    <x v="1"/>
  </r>
  <r>
    <x v="89"/>
    <x v="2"/>
    <x v="0"/>
    <x v="3"/>
    <x v="0"/>
    <n v="49"/>
    <x v="3"/>
    <s v="Middle Age"/>
    <x v="4"/>
    <n v="11498"/>
    <x v="4"/>
    <x v="1"/>
    <x v="0"/>
    <x v="21"/>
    <x v="1"/>
  </r>
  <r>
    <x v="90"/>
    <x v="2"/>
    <x v="3"/>
    <x v="5"/>
    <x v="0"/>
    <n v="39"/>
    <x v="3"/>
    <s v="Adult"/>
    <x v="0"/>
    <n v="1491"/>
    <x v="3"/>
    <x v="7"/>
    <x v="3"/>
    <x v="31"/>
    <x v="3"/>
  </r>
  <r>
    <x v="91"/>
    <x v="1"/>
    <x v="2"/>
    <x v="2"/>
    <x v="1"/>
    <n v="48"/>
    <x v="3"/>
    <s v="Middle Age"/>
    <x v="4"/>
    <n v="1564"/>
    <x v="3"/>
    <x v="11"/>
    <x v="4"/>
    <x v="24"/>
    <x v="1"/>
  </r>
  <r>
    <x v="92"/>
    <x v="5"/>
    <x v="0"/>
    <x v="8"/>
    <x v="0"/>
    <n v="14"/>
    <x v="6"/>
    <s v="Teenager"/>
    <x v="6"/>
    <n v="12102"/>
    <x v="4"/>
    <x v="11"/>
    <x v="4"/>
    <x v="17"/>
    <x v="1"/>
  </r>
  <r>
    <x v="93"/>
    <x v="6"/>
    <x v="1"/>
    <x v="7"/>
    <x v="1"/>
    <n v="67"/>
    <x v="5"/>
    <s v="Elderly"/>
    <x v="2"/>
    <n v="1532"/>
    <x v="3"/>
    <x v="6"/>
    <x v="2"/>
    <x v="26"/>
    <x v="3"/>
  </r>
  <r>
    <x v="94"/>
    <x v="6"/>
    <x v="1"/>
    <x v="6"/>
    <x v="1"/>
    <n v="76"/>
    <x v="5"/>
    <s v="Elderly"/>
    <x v="2"/>
    <n v="749"/>
    <x v="3"/>
    <x v="6"/>
    <x v="2"/>
    <x v="22"/>
    <x v="1"/>
  </r>
  <r>
    <x v="95"/>
    <x v="6"/>
    <x v="0"/>
    <x v="3"/>
    <x v="0"/>
    <n v="32"/>
    <x v="0"/>
    <s v="Adult"/>
    <x v="0"/>
    <n v="17295"/>
    <x v="2"/>
    <x v="14"/>
    <x v="4"/>
    <x v="6"/>
    <x v="1"/>
  </r>
  <r>
    <x v="96"/>
    <x v="2"/>
    <x v="1"/>
    <x v="4"/>
    <x v="1"/>
    <n v="42"/>
    <x v="3"/>
    <s v="Adult"/>
    <x v="0"/>
    <n v="572"/>
    <x v="3"/>
    <x v="6"/>
    <x v="2"/>
    <x v="40"/>
    <x v="1"/>
  </r>
  <r>
    <x v="97"/>
    <x v="5"/>
    <x v="2"/>
    <x v="4"/>
    <x v="1"/>
    <n v="77"/>
    <x v="5"/>
    <s v="Elderly"/>
    <x v="2"/>
    <n v="6744"/>
    <x v="1"/>
    <x v="10"/>
    <x v="3"/>
    <x v="14"/>
    <x v="0"/>
  </r>
  <r>
    <x v="98"/>
    <x v="1"/>
    <x v="3"/>
    <x v="5"/>
    <x v="1"/>
    <n v="53"/>
    <x v="4"/>
    <s v="Middle Age"/>
    <x v="4"/>
    <n v="4502"/>
    <x v="1"/>
    <x v="7"/>
    <x v="3"/>
    <x v="37"/>
    <x v="3"/>
  </r>
  <r>
    <x v="99"/>
    <x v="3"/>
    <x v="1"/>
    <x v="6"/>
    <x v="1"/>
    <n v="3"/>
    <x v="1"/>
    <s v="Infant"/>
    <x v="1"/>
    <n v="390"/>
    <x v="3"/>
    <x v="6"/>
    <x v="2"/>
    <x v="1"/>
    <x v="1"/>
  </r>
  <r>
    <x v="100"/>
    <x v="4"/>
    <x v="3"/>
    <x v="3"/>
    <x v="0"/>
    <n v="48"/>
    <x v="3"/>
    <s v="Middle Age"/>
    <x v="4"/>
    <n v="4376"/>
    <x v="1"/>
    <x v="7"/>
    <x v="3"/>
    <x v="41"/>
    <x v="0"/>
  </r>
  <r>
    <x v="101"/>
    <x v="5"/>
    <x v="1"/>
    <x v="2"/>
    <x v="1"/>
    <n v="90"/>
    <x v="2"/>
    <s v="Elderly"/>
    <x v="2"/>
    <n v="1129"/>
    <x v="3"/>
    <x v="6"/>
    <x v="2"/>
    <x v="35"/>
    <x v="1"/>
  </r>
  <r>
    <x v="102"/>
    <x v="5"/>
    <x v="3"/>
    <x v="5"/>
    <x v="0"/>
    <n v="41"/>
    <x v="3"/>
    <s v="Adult"/>
    <x v="0"/>
    <n v="1479"/>
    <x v="3"/>
    <x v="7"/>
    <x v="3"/>
    <x v="37"/>
    <x v="3"/>
  </r>
  <r>
    <x v="103"/>
    <x v="0"/>
    <x v="3"/>
    <x v="9"/>
    <x v="1"/>
    <n v="62"/>
    <x v="4"/>
    <s v="Elderly"/>
    <x v="2"/>
    <n v="2765"/>
    <x v="3"/>
    <x v="7"/>
    <x v="3"/>
    <x v="37"/>
    <x v="3"/>
  </r>
  <r>
    <x v="104"/>
    <x v="2"/>
    <x v="2"/>
    <x v="5"/>
    <x v="0"/>
    <n v="38"/>
    <x v="3"/>
    <s v="Adult"/>
    <x v="0"/>
    <n v="2863"/>
    <x v="3"/>
    <x v="0"/>
    <x v="0"/>
    <x v="39"/>
    <x v="1"/>
  </r>
  <r>
    <x v="105"/>
    <x v="5"/>
    <x v="0"/>
    <x v="2"/>
    <x v="1"/>
    <n v="6"/>
    <x v="1"/>
    <s v="Child"/>
    <x v="3"/>
    <n v="5893"/>
    <x v="1"/>
    <x v="2"/>
    <x v="1"/>
    <x v="42"/>
    <x v="2"/>
  </r>
  <r>
    <x v="106"/>
    <x v="0"/>
    <x v="3"/>
    <x v="6"/>
    <x v="1"/>
    <n v="2"/>
    <x v="1"/>
    <s v="Infant"/>
    <x v="1"/>
    <n v="2829"/>
    <x v="3"/>
    <x v="8"/>
    <x v="3"/>
    <x v="43"/>
    <x v="0"/>
  </r>
  <r>
    <x v="107"/>
    <x v="4"/>
    <x v="2"/>
    <x v="7"/>
    <x v="0"/>
    <n v="33"/>
    <x v="0"/>
    <s v="Adult"/>
    <x v="0"/>
    <n v="4913"/>
    <x v="1"/>
    <x v="4"/>
    <x v="2"/>
    <x v="21"/>
    <x v="1"/>
  </r>
  <r>
    <x v="108"/>
    <x v="4"/>
    <x v="1"/>
    <x v="5"/>
    <x v="0"/>
    <n v="88"/>
    <x v="2"/>
    <s v="Elderly"/>
    <x v="2"/>
    <n v="309"/>
    <x v="3"/>
    <x v="3"/>
    <x v="2"/>
    <x v="44"/>
    <x v="1"/>
  </r>
  <r>
    <x v="109"/>
    <x v="6"/>
    <x v="2"/>
    <x v="5"/>
    <x v="2"/>
    <n v="16"/>
    <x v="6"/>
    <s v="Teenager"/>
    <x v="6"/>
    <n v="5571"/>
    <x v="1"/>
    <x v="1"/>
    <x v="0"/>
    <x v="20"/>
    <x v="0"/>
  </r>
  <r>
    <x v="110"/>
    <x v="2"/>
    <x v="3"/>
    <x v="2"/>
    <x v="1"/>
    <n v="57"/>
    <x v="4"/>
    <s v="Middle Age"/>
    <x v="4"/>
    <n v="2935"/>
    <x v="3"/>
    <x v="7"/>
    <x v="3"/>
    <x v="13"/>
    <x v="0"/>
  </r>
  <r>
    <x v="111"/>
    <x v="5"/>
    <x v="0"/>
    <x v="1"/>
    <x v="0"/>
    <n v="13"/>
    <x v="6"/>
    <s v="Teenager"/>
    <x v="6"/>
    <n v="17496"/>
    <x v="2"/>
    <x v="1"/>
    <x v="0"/>
    <x v="17"/>
    <x v="0"/>
  </r>
  <r>
    <x v="112"/>
    <x v="3"/>
    <x v="2"/>
    <x v="5"/>
    <x v="1"/>
    <n v="23"/>
    <x v="0"/>
    <s v="Youth"/>
    <x v="5"/>
    <n v="5521"/>
    <x v="1"/>
    <x v="4"/>
    <x v="2"/>
    <x v="9"/>
    <x v="1"/>
  </r>
  <r>
    <x v="113"/>
    <x v="1"/>
    <x v="1"/>
    <x v="6"/>
    <x v="0"/>
    <n v="61"/>
    <x v="4"/>
    <s v="Elderly"/>
    <x v="2"/>
    <n v="796"/>
    <x v="3"/>
    <x v="3"/>
    <x v="2"/>
    <x v="1"/>
    <x v="1"/>
  </r>
  <r>
    <x v="114"/>
    <x v="5"/>
    <x v="2"/>
    <x v="6"/>
    <x v="1"/>
    <n v="30"/>
    <x v="0"/>
    <s v="Adult"/>
    <x v="0"/>
    <n v="3167"/>
    <x v="1"/>
    <x v="7"/>
    <x v="3"/>
    <x v="13"/>
    <x v="0"/>
  </r>
  <r>
    <x v="115"/>
    <x v="1"/>
    <x v="3"/>
    <x v="7"/>
    <x v="0"/>
    <n v="19"/>
    <x v="6"/>
    <s v="Teenager"/>
    <x v="6"/>
    <n v="1084"/>
    <x v="3"/>
    <x v="3"/>
    <x v="2"/>
    <x v="9"/>
    <x v="1"/>
  </r>
  <r>
    <x v="116"/>
    <x v="6"/>
    <x v="2"/>
    <x v="1"/>
    <x v="0"/>
    <n v="73"/>
    <x v="5"/>
    <s v="Elderly"/>
    <x v="2"/>
    <n v="3364"/>
    <x v="1"/>
    <x v="5"/>
    <x v="0"/>
    <x v="45"/>
    <x v="1"/>
  </r>
  <r>
    <x v="117"/>
    <x v="4"/>
    <x v="2"/>
    <x v="8"/>
    <x v="0"/>
    <n v="65"/>
    <x v="5"/>
    <s v="Elderly"/>
    <x v="2"/>
    <n v="5423"/>
    <x v="1"/>
    <x v="5"/>
    <x v="0"/>
    <x v="36"/>
    <x v="0"/>
  </r>
  <r>
    <x v="118"/>
    <x v="1"/>
    <x v="0"/>
    <x v="8"/>
    <x v="0"/>
    <n v="78"/>
    <x v="5"/>
    <s v="Elderly"/>
    <x v="2"/>
    <n v="9102"/>
    <x v="0"/>
    <x v="7"/>
    <x v="3"/>
    <x v="46"/>
    <x v="1"/>
  </r>
  <r>
    <x v="119"/>
    <x v="3"/>
    <x v="0"/>
    <x v="3"/>
    <x v="0"/>
    <n v="23"/>
    <x v="0"/>
    <s v="Youth"/>
    <x v="5"/>
    <n v="12708"/>
    <x v="4"/>
    <x v="2"/>
    <x v="1"/>
    <x v="24"/>
    <x v="2"/>
  </r>
  <r>
    <x v="120"/>
    <x v="4"/>
    <x v="2"/>
    <x v="7"/>
    <x v="2"/>
    <n v="56"/>
    <x v="4"/>
    <s v="Middle Age"/>
    <x v="4"/>
    <n v="6200"/>
    <x v="1"/>
    <x v="5"/>
    <x v="0"/>
    <x v="46"/>
    <x v="1"/>
  </r>
  <r>
    <x v="121"/>
    <x v="4"/>
    <x v="2"/>
    <x v="8"/>
    <x v="1"/>
    <n v="86"/>
    <x v="2"/>
    <s v="Elderly"/>
    <x v="2"/>
    <n v="1856"/>
    <x v="3"/>
    <x v="8"/>
    <x v="3"/>
    <x v="47"/>
    <x v="0"/>
  </r>
  <r>
    <x v="122"/>
    <x v="4"/>
    <x v="1"/>
    <x v="3"/>
    <x v="0"/>
    <n v="52"/>
    <x v="4"/>
    <s v="Middle Age"/>
    <x v="4"/>
    <n v="1866"/>
    <x v="3"/>
    <x v="4"/>
    <x v="2"/>
    <x v="32"/>
    <x v="1"/>
  </r>
  <r>
    <x v="123"/>
    <x v="4"/>
    <x v="0"/>
    <x v="4"/>
    <x v="1"/>
    <n v="15"/>
    <x v="6"/>
    <s v="Teenager"/>
    <x v="6"/>
    <n v="17657"/>
    <x v="2"/>
    <x v="12"/>
    <x v="4"/>
    <x v="33"/>
    <x v="1"/>
  </r>
  <r>
    <x v="124"/>
    <x v="6"/>
    <x v="0"/>
    <x v="2"/>
    <x v="1"/>
    <n v="7"/>
    <x v="1"/>
    <s v="Child"/>
    <x v="3"/>
    <n v="8073"/>
    <x v="0"/>
    <x v="2"/>
    <x v="1"/>
    <x v="48"/>
    <x v="2"/>
  </r>
  <r>
    <x v="125"/>
    <x v="2"/>
    <x v="1"/>
    <x v="6"/>
    <x v="0"/>
    <n v="27"/>
    <x v="0"/>
    <s v="Youth"/>
    <x v="5"/>
    <n v="746"/>
    <x v="3"/>
    <x v="4"/>
    <x v="2"/>
    <x v="29"/>
    <x v="1"/>
  </r>
  <r>
    <x v="126"/>
    <x v="5"/>
    <x v="1"/>
    <x v="6"/>
    <x v="1"/>
    <n v="81"/>
    <x v="2"/>
    <s v="Elderly"/>
    <x v="2"/>
    <n v="1446"/>
    <x v="3"/>
    <x v="3"/>
    <x v="2"/>
    <x v="28"/>
    <x v="3"/>
  </r>
  <r>
    <x v="127"/>
    <x v="3"/>
    <x v="2"/>
    <x v="2"/>
    <x v="1"/>
    <n v="53"/>
    <x v="4"/>
    <s v="Middle Age"/>
    <x v="4"/>
    <n v="1763"/>
    <x v="3"/>
    <x v="7"/>
    <x v="3"/>
    <x v="45"/>
    <x v="1"/>
  </r>
  <r>
    <x v="128"/>
    <x v="4"/>
    <x v="0"/>
    <x v="7"/>
    <x v="0"/>
    <n v="38"/>
    <x v="3"/>
    <s v="Adult"/>
    <x v="0"/>
    <n v="13337"/>
    <x v="4"/>
    <x v="5"/>
    <x v="0"/>
    <x v="2"/>
    <x v="0"/>
  </r>
  <r>
    <x v="129"/>
    <x v="6"/>
    <x v="1"/>
    <x v="6"/>
    <x v="1"/>
    <n v="71"/>
    <x v="5"/>
    <s v="Elderly"/>
    <x v="2"/>
    <n v="496"/>
    <x v="3"/>
    <x v="6"/>
    <x v="2"/>
    <x v="49"/>
    <x v="1"/>
  </r>
  <r>
    <x v="130"/>
    <x v="2"/>
    <x v="3"/>
    <x v="5"/>
    <x v="1"/>
    <n v="54"/>
    <x v="4"/>
    <s v="Middle Age"/>
    <x v="4"/>
    <n v="3284"/>
    <x v="1"/>
    <x v="7"/>
    <x v="3"/>
    <x v="10"/>
    <x v="1"/>
  </r>
  <r>
    <x v="131"/>
    <x v="6"/>
    <x v="0"/>
    <x v="3"/>
    <x v="0"/>
    <n v="76"/>
    <x v="5"/>
    <s v="Elderly"/>
    <x v="2"/>
    <n v="14501"/>
    <x v="4"/>
    <x v="9"/>
    <x v="1"/>
    <x v="12"/>
    <x v="2"/>
  </r>
  <r>
    <x v="132"/>
    <x v="6"/>
    <x v="3"/>
    <x v="6"/>
    <x v="0"/>
    <n v="45"/>
    <x v="3"/>
    <s v="Middle Age"/>
    <x v="4"/>
    <n v="3223"/>
    <x v="1"/>
    <x v="7"/>
    <x v="3"/>
    <x v="37"/>
    <x v="3"/>
  </r>
  <r>
    <x v="133"/>
    <x v="2"/>
    <x v="1"/>
    <x v="6"/>
    <x v="0"/>
    <n v="25"/>
    <x v="0"/>
    <s v="Youth"/>
    <x v="5"/>
    <n v="1628"/>
    <x v="3"/>
    <x v="3"/>
    <x v="2"/>
    <x v="6"/>
    <x v="3"/>
  </r>
  <r>
    <x v="134"/>
    <x v="4"/>
    <x v="3"/>
    <x v="8"/>
    <x v="1"/>
    <n v="61"/>
    <x v="4"/>
    <s v="Elderly"/>
    <x v="2"/>
    <n v="3623"/>
    <x v="1"/>
    <x v="8"/>
    <x v="3"/>
    <x v="25"/>
    <x v="3"/>
  </r>
  <r>
    <x v="135"/>
    <x v="6"/>
    <x v="3"/>
    <x v="6"/>
    <x v="0"/>
    <n v="17"/>
    <x v="6"/>
    <s v="Teenager"/>
    <x v="6"/>
    <n v="4614"/>
    <x v="1"/>
    <x v="7"/>
    <x v="3"/>
    <x v="47"/>
    <x v="0"/>
  </r>
  <r>
    <x v="136"/>
    <x v="6"/>
    <x v="0"/>
    <x v="6"/>
    <x v="1"/>
    <n v="59"/>
    <x v="4"/>
    <s v="Middle Age"/>
    <x v="4"/>
    <n v="5251"/>
    <x v="1"/>
    <x v="0"/>
    <x v="0"/>
    <x v="2"/>
    <x v="0"/>
  </r>
  <r>
    <x v="137"/>
    <x v="6"/>
    <x v="3"/>
    <x v="5"/>
    <x v="1"/>
    <n v="34"/>
    <x v="0"/>
    <s v="Adult"/>
    <x v="0"/>
    <n v="3273"/>
    <x v="1"/>
    <x v="7"/>
    <x v="3"/>
    <x v="3"/>
    <x v="3"/>
  </r>
  <r>
    <x v="138"/>
    <x v="4"/>
    <x v="0"/>
    <x v="4"/>
    <x v="0"/>
    <n v="69"/>
    <x v="5"/>
    <s v="Elderly"/>
    <x v="2"/>
    <n v="11226"/>
    <x v="4"/>
    <x v="11"/>
    <x v="4"/>
    <x v="17"/>
    <x v="1"/>
  </r>
  <r>
    <x v="139"/>
    <x v="0"/>
    <x v="1"/>
    <x v="2"/>
    <x v="1"/>
    <n v="9"/>
    <x v="1"/>
    <s v="Child"/>
    <x v="3"/>
    <n v="680"/>
    <x v="3"/>
    <x v="4"/>
    <x v="2"/>
    <x v="30"/>
    <x v="3"/>
  </r>
  <r>
    <x v="140"/>
    <x v="5"/>
    <x v="3"/>
    <x v="5"/>
    <x v="1"/>
    <n v="13"/>
    <x v="6"/>
    <s v="Teenager"/>
    <x v="6"/>
    <n v="1323"/>
    <x v="3"/>
    <x v="8"/>
    <x v="3"/>
    <x v="9"/>
    <x v="1"/>
  </r>
  <r>
    <x v="141"/>
    <x v="0"/>
    <x v="2"/>
    <x v="0"/>
    <x v="1"/>
    <n v="8"/>
    <x v="1"/>
    <s v="Child"/>
    <x v="3"/>
    <n v="3403"/>
    <x v="1"/>
    <x v="0"/>
    <x v="0"/>
    <x v="48"/>
    <x v="0"/>
  </r>
  <r>
    <x v="142"/>
    <x v="4"/>
    <x v="3"/>
    <x v="9"/>
    <x v="0"/>
    <n v="73"/>
    <x v="5"/>
    <s v="Elderly"/>
    <x v="2"/>
    <n v="1975"/>
    <x v="3"/>
    <x v="6"/>
    <x v="2"/>
    <x v="39"/>
    <x v="1"/>
  </r>
  <r>
    <x v="143"/>
    <x v="1"/>
    <x v="1"/>
    <x v="1"/>
    <x v="0"/>
    <n v="64"/>
    <x v="4"/>
    <s v="Elderly"/>
    <x v="2"/>
    <n v="1394"/>
    <x v="3"/>
    <x v="3"/>
    <x v="2"/>
    <x v="1"/>
    <x v="1"/>
  </r>
  <r>
    <x v="144"/>
    <x v="4"/>
    <x v="2"/>
    <x v="6"/>
    <x v="1"/>
    <n v="2"/>
    <x v="1"/>
    <s v="Infant"/>
    <x v="1"/>
    <n v="4811"/>
    <x v="1"/>
    <x v="10"/>
    <x v="3"/>
    <x v="30"/>
    <x v="0"/>
  </r>
  <r>
    <x v="145"/>
    <x v="2"/>
    <x v="3"/>
    <x v="5"/>
    <x v="1"/>
    <n v="45"/>
    <x v="3"/>
    <s v="Middle Age"/>
    <x v="4"/>
    <n v="2950"/>
    <x v="3"/>
    <x v="8"/>
    <x v="3"/>
    <x v="3"/>
    <x v="3"/>
  </r>
  <r>
    <x v="146"/>
    <x v="5"/>
    <x v="1"/>
    <x v="3"/>
    <x v="1"/>
    <n v="50"/>
    <x v="4"/>
    <s v="Middle Age"/>
    <x v="4"/>
    <n v="1947"/>
    <x v="3"/>
    <x v="6"/>
    <x v="2"/>
    <x v="7"/>
    <x v="1"/>
  </r>
  <r>
    <x v="147"/>
    <x v="3"/>
    <x v="1"/>
    <x v="1"/>
    <x v="1"/>
    <n v="38"/>
    <x v="3"/>
    <s v="Adult"/>
    <x v="0"/>
    <n v="1632"/>
    <x v="3"/>
    <x v="6"/>
    <x v="2"/>
    <x v="38"/>
    <x v="1"/>
  </r>
  <r>
    <x v="148"/>
    <x v="6"/>
    <x v="1"/>
    <x v="3"/>
    <x v="1"/>
    <n v="88"/>
    <x v="2"/>
    <s v="Elderly"/>
    <x v="2"/>
    <n v="1793"/>
    <x v="3"/>
    <x v="4"/>
    <x v="2"/>
    <x v="19"/>
    <x v="1"/>
  </r>
  <r>
    <x v="149"/>
    <x v="2"/>
    <x v="1"/>
    <x v="3"/>
    <x v="0"/>
    <n v="30"/>
    <x v="0"/>
    <s v="Adult"/>
    <x v="0"/>
    <n v="1443"/>
    <x v="3"/>
    <x v="6"/>
    <x v="2"/>
    <x v="1"/>
    <x v="1"/>
  </r>
  <r>
    <x v="150"/>
    <x v="0"/>
    <x v="3"/>
    <x v="1"/>
    <x v="1"/>
    <n v="85"/>
    <x v="2"/>
    <s v="Elderly"/>
    <x v="2"/>
    <n v="1620"/>
    <x v="3"/>
    <x v="3"/>
    <x v="2"/>
    <x v="17"/>
    <x v="3"/>
  </r>
  <r>
    <x v="151"/>
    <x v="0"/>
    <x v="0"/>
    <x v="3"/>
    <x v="0"/>
    <n v="5"/>
    <x v="1"/>
    <s v="Infant"/>
    <x v="1"/>
    <n v="14495"/>
    <x v="4"/>
    <x v="11"/>
    <x v="4"/>
    <x v="16"/>
    <x v="1"/>
  </r>
  <r>
    <x v="152"/>
    <x v="3"/>
    <x v="0"/>
    <x v="3"/>
    <x v="1"/>
    <n v="54"/>
    <x v="4"/>
    <s v="Middle Age"/>
    <x v="4"/>
    <n v="7877"/>
    <x v="0"/>
    <x v="1"/>
    <x v="0"/>
    <x v="29"/>
    <x v="1"/>
  </r>
  <r>
    <x v="153"/>
    <x v="6"/>
    <x v="2"/>
    <x v="2"/>
    <x v="0"/>
    <n v="35"/>
    <x v="3"/>
    <s v="Adult"/>
    <x v="0"/>
    <n v="2347"/>
    <x v="3"/>
    <x v="10"/>
    <x v="3"/>
    <x v="43"/>
    <x v="0"/>
  </r>
  <r>
    <x v="154"/>
    <x v="6"/>
    <x v="2"/>
    <x v="4"/>
    <x v="0"/>
    <n v="60"/>
    <x v="4"/>
    <s v="Middle Age"/>
    <x v="4"/>
    <n v="1616"/>
    <x v="3"/>
    <x v="8"/>
    <x v="3"/>
    <x v="37"/>
    <x v="3"/>
  </r>
  <r>
    <x v="155"/>
    <x v="3"/>
    <x v="1"/>
    <x v="2"/>
    <x v="1"/>
    <n v="51"/>
    <x v="4"/>
    <s v="Middle Age"/>
    <x v="4"/>
    <n v="228"/>
    <x v="3"/>
    <x v="6"/>
    <x v="2"/>
    <x v="5"/>
    <x v="0"/>
  </r>
  <r>
    <x v="156"/>
    <x v="1"/>
    <x v="1"/>
    <x v="4"/>
    <x v="0"/>
    <n v="87"/>
    <x v="2"/>
    <s v="Elderly"/>
    <x v="2"/>
    <n v="736"/>
    <x v="3"/>
    <x v="4"/>
    <x v="2"/>
    <x v="4"/>
    <x v="0"/>
  </r>
  <r>
    <x v="157"/>
    <x v="6"/>
    <x v="2"/>
    <x v="5"/>
    <x v="0"/>
    <n v="61"/>
    <x v="4"/>
    <s v="Elderly"/>
    <x v="2"/>
    <n v="1205"/>
    <x v="3"/>
    <x v="11"/>
    <x v="4"/>
    <x v="34"/>
    <x v="1"/>
  </r>
  <r>
    <x v="158"/>
    <x v="2"/>
    <x v="3"/>
    <x v="5"/>
    <x v="0"/>
    <n v="60"/>
    <x v="4"/>
    <s v="Middle Age"/>
    <x v="4"/>
    <n v="2975"/>
    <x v="3"/>
    <x v="8"/>
    <x v="3"/>
    <x v="45"/>
    <x v="1"/>
  </r>
  <r>
    <x v="159"/>
    <x v="3"/>
    <x v="0"/>
    <x v="0"/>
    <x v="1"/>
    <n v="64"/>
    <x v="4"/>
    <s v="Elderly"/>
    <x v="2"/>
    <n v="6902"/>
    <x v="1"/>
    <x v="10"/>
    <x v="3"/>
    <x v="22"/>
    <x v="1"/>
  </r>
  <r>
    <x v="160"/>
    <x v="2"/>
    <x v="3"/>
    <x v="8"/>
    <x v="1"/>
    <n v="86"/>
    <x v="2"/>
    <s v="Elderly"/>
    <x v="2"/>
    <n v="4925"/>
    <x v="1"/>
    <x v="8"/>
    <x v="3"/>
    <x v="50"/>
    <x v="3"/>
  </r>
  <r>
    <x v="161"/>
    <x v="0"/>
    <x v="3"/>
    <x v="8"/>
    <x v="0"/>
    <n v="63"/>
    <x v="4"/>
    <s v="Elderly"/>
    <x v="2"/>
    <n v="3843"/>
    <x v="1"/>
    <x v="4"/>
    <x v="2"/>
    <x v="32"/>
    <x v="1"/>
  </r>
  <r>
    <x v="162"/>
    <x v="0"/>
    <x v="2"/>
    <x v="9"/>
    <x v="1"/>
    <n v="31"/>
    <x v="0"/>
    <s v="Adult"/>
    <x v="0"/>
    <n v="3971"/>
    <x v="1"/>
    <x v="4"/>
    <x v="2"/>
    <x v="30"/>
    <x v="3"/>
  </r>
  <r>
    <x v="163"/>
    <x v="5"/>
    <x v="2"/>
    <x v="0"/>
    <x v="1"/>
    <n v="25"/>
    <x v="0"/>
    <s v="Youth"/>
    <x v="5"/>
    <n v="2000"/>
    <x v="3"/>
    <x v="5"/>
    <x v="0"/>
    <x v="46"/>
    <x v="1"/>
  </r>
  <r>
    <x v="164"/>
    <x v="0"/>
    <x v="3"/>
    <x v="1"/>
    <x v="0"/>
    <n v="7"/>
    <x v="1"/>
    <s v="Child"/>
    <x v="3"/>
    <n v="3232"/>
    <x v="1"/>
    <x v="6"/>
    <x v="2"/>
    <x v="29"/>
    <x v="1"/>
  </r>
  <r>
    <x v="165"/>
    <x v="6"/>
    <x v="3"/>
    <x v="5"/>
    <x v="0"/>
    <n v="71"/>
    <x v="5"/>
    <s v="Elderly"/>
    <x v="2"/>
    <n v="2197"/>
    <x v="3"/>
    <x v="7"/>
    <x v="3"/>
    <x v="40"/>
    <x v="1"/>
  </r>
  <r>
    <x v="166"/>
    <x v="6"/>
    <x v="3"/>
    <x v="4"/>
    <x v="0"/>
    <n v="77"/>
    <x v="5"/>
    <s v="Elderly"/>
    <x v="2"/>
    <n v="523"/>
    <x v="3"/>
    <x v="4"/>
    <x v="2"/>
    <x v="44"/>
    <x v="1"/>
  </r>
  <r>
    <x v="167"/>
    <x v="3"/>
    <x v="2"/>
    <x v="7"/>
    <x v="1"/>
    <n v="4"/>
    <x v="1"/>
    <s v="Infant"/>
    <x v="1"/>
    <n v="2079"/>
    <x v="3"/>
    <x v="6"/>
    <x v="2"/>
    <x v="8"/>
    <x v="0"/>
  </r>
  <r>
    <x v="168"/>
    <x v="6"/>
    <x v="3"/>
    <x v="1"/>
    <x v="1"/>
    <n v="23"/>
    <x v="0"/>
    <s v="Youth"/>
    <x v="5"/>
    <n v="2673"/>
    <x v="3"/>
    <x v="3"/>
    <x v="2"/>
    <x v="29"/>
    <x v="1"/>
  </r>
  <r>
    <x v="169"/>
    <x v="0"/>
    <x v="1"/>
    <x v="2"/>
    <x v="1"/>
    <n v="9"/>
    <x v="1"/>
    <s v="Child"/>
    <x v="3"/>
    <n v="1175"/>
    <x v="3"/>
    <x v="6"/>
    <x v="2"/>
    <x v="15"/>
    <x v="3"/>
  </r>
  <r>
    <x v="170"/>
    <x v="5"/>
    <x v="0"/>
    <x v="6"/>
    <x v="0"/>
    <n v="79"/>
    <x v="5"/>
    <s v="Elderly"/>
    <x v="2"/>
    <n v="5710"/>
    <x v="1"/>
    <x v="9"/>
    <x v="1"/>
    <x v="41"/>
    <x v="2"/>
  </r>
  <r>
    <x v="171"/>
    <x v="5"/>
    <x v="1"/>
    <x v="0"/>
    <x v="1"/>
    <n v="62"/>
    <x v="4"/>
    <s v="Elderly"/>
    <x v="2"/>
    <n v="1935"/>
    <x v="3"/>
    <x v="6"/>
    <x v="2"/>
    <x v="13"/>
    <x v="0"/>
  </r>
  <r>
    <x v="172"/>
    <x v="0"/>
    <x v="0"/>
    <x v="6"/>
    <x v="0"/>
    <n v="57"/>
    <x v="4"/>
    <s v="Middle Age"/>
    <x v="4"/>
    <n v="6204"/>
    <x v="1"/>
    <x v="10"/>
    <x v="3"/>
    <x v="34"/>
    <x v="0"/>
  </r>
  <r>
    <x v="173"/>
    <x v="2"/>
    <x v="3"/>
    <x v="5"/>
    <x v="1"/>
    <n v="80"/>
    <x v="2"/>
    <s v="Elderly"/>
    <x v="2"/>
    <n v="4992"/>
    <x v="1"/>
    <x v="4"/>
    <x v="2"/>
    <x v="4"/>
    <x v="0"/>
  </r>
  <r>
    <x v="174"/>
    <x v="2"/>
    <x v="2"/>
    <x v="6"/>
    <x v="0"/>
    <n v="56"/>
    <x v="4"/>
    <s v="Middle Age"/>
    <x v="4"/>
    <n v="1812"/>
    <x v="3"/>
    <x v="4"/>
    <x v="2"/>
    <x v="24"/>
    <x v="3"/>
  </r>
  <r>
    <x v="175"/>
    <x v="0"/>
    <x v="3"/>
    <x v="8"/>
    <x v="1"/>
    <n v="30"/>
    <x v="0"/>
    <s v="Adult"/>
    <x v="0"/>
    <n v="3889"/>
    <x v="1"/>
    <x v="4"/>
    <x v="2"/>
    <x v="23"/>
    <x v="0"/>
  </r>
  <r>
    <x v="176"/>
    <x v="4"/>
    <x v="1"/>
    <x v="5"/>
    <x v="1"/>
    <n v="41"/>
    <x v="3"/>
    <s v="Adult"/>
    <x v="0"/>
    <n v="1562"/>
    <x v="3"/>
    <x v="6"/>
    <x v="2"/>
    <x v="48"/>
    <x v="0"/>
  </r>
  <r>
    <x v="177"/>
    <x v="3"/>
    <x v="1"/>
    <x v="5"/>
    <x v="1"/>
    <n v="11"/>
    <x v="1"/>
    <s v="Child"/>
    <x v="3"/>
    <n v="390"/>
    <x v="3"/>
    <x v="6"/>
    <x v="2"/>
    <x v="7"/>
    <x v="1"/>
  </r>
  <r>
    <x v="178"/>
    <x v="0"/>
    <x v="2"/>
    <x v="7"/>
    <x v="0"/>
    <n v="76"/>
    <x v="5"/>
    <s v="Elderly"/>
    <x v="2"/>
    <n v="5600"/>
    <x v="1"/>
    <x v="11"/>
    <x v="4"/>
    <x v="47"/>
    <x v="1"/>
  </r>
  <r>
    <x v="179"/>
    <x v="0"/>
    <x v="0"/>
    <x v="8"/>
    <x v="1"/>
    <n v="86"/>
    <x v="2"/>
    <s v="Elderly"/>
    <x v="2"/>
    <n v="17292"/>
    <x v="2"/>
    <x v="12"/>
    <x v="4"/>
    <x v="16"/>
    <x v="1"/>
  </r>
  <r>
    <x v="180"/>
    <x v="1"/>
    <x v="2"/>
    <x v="1"/>
    <x v="1"/>
    <n v="14"/>
    <x v="6"/>
    <s v="Teenager"/>
    <x v="6"/>
    <n v="5734"/>
    <x v="1"/>
    <x v="11"/>
    <x v="4"/>
    <x v="40"/>
    <x v="1"/>
  </r>
  <r>
    <x v="181"/>
    <x v="3"/>
    <x v="1"/>
    <x v="9"/>
    <x v="0"/>
    <n v="45"/>
    <x v="3"/>
    <s v="Middle Age"/>
    <x v="4"/>
    <n v="1931"/>
    <x v="3"/>
    <x v="4"/>
    <x v="2"/>
    <x v="48"/>
    <x v="0"/>
  </r>
  <r>
    <x v="182"/>
    <x v="1"/>
    <x v="2"/>
    <x v="1"/>
    <x v="1"/>
    <n v="55"/>
    <x v="4"/>
    <s v="Middle Age"/>
    <x v="4"/>
    <n v="5595"/>
    <x v="1"/>
    <x v="11"/>
    <x v="4"/>
    <x v="38"/>
    <x v="1"/>
  </r>
  <r>
    <x v="183"/>
    <x v="2"/>
    <x v="2"/>
    <x v="0"/>
    <x v="1"/>
    <n v="90"/>
    <x v="2"/>
    <s v="Elderly"/>
    <x v="2"/>
    <n v="3531"/>
    <x v="1"/>
    <x v="0"/>
    <x v="0"/>
    <x v="8"/>
    <x v="0"/>
  </r>
  <r>
    <x v="184"/>
    <x v="1"/>
    <x v="3"/>
    <x v="7"/>
    <x v="0"/>
    <n v="52"/>
    <x v="4"/>
    <s v="Middle Age"/>
    <x v="4"/>
    <n v="1070"/>
    <x v="3"/>
    <x v="6"/>
    <x v="2"/>
    <x v="0"/>
    <x v="3"/>
  </r>
  <r>
    <x v="185"/>
    <x v="0"/>
    <x v="0"/>
    <x v="5"/>
    <x v="0"/>
    <n v="28"/>
    <x v="0"/>
    <s v="Youth"/>
    <x v="5"/>
    <n v="11163"/>
    <x v="4"/>
    <x v="12"/>
    <x v="4"/>
    <x v="23"/>
    <x v="1"/>
  </r>
  <r>
    <x v="186"/>
    <x v="5"/>
    <x v="3"/>
    <x v="4"/>
    <x v="1"/>
    <n v="42"/>
    <x v="3"/>
    <s v="Adult"/>
    <x v="0"/>
    <n v="1195"/>
    <x v="3"/>
    <x v="3"/>
    <x v="2"/>
    <x v="44"/>
    <x v="1"/>
  </r>
  <r>
    <x v="187"/>
    <x v="3"/>
    <x v="0"/>
    <x v="5"/>
    <x v="1"/>
    <n v="85"/>
    <x v="2"/>
    <s v="Elderly"/>
    <x v="2"/>
    <n v="11947"/>
    <x v="4"/>
    <x v="14"/>
    <x v="4"/>
    <x v="20"/>
    <x v="1"/>
  </r>
  <r>
    <x v="188"/>
    <x v="4"/>
    <x v="1"/>
    <x v="3"/>
    <x v="1"/>
    <n v="66"/>
    <x v="5"/>
    <s v="Elderly"/>
    <x v="2"/>
    <n v="433"/>
    <x v="3"/>
    <x v="6"/>
    <x v="2"/>
    <x v="13"/>
    <x v="0"/>
  </r>
  <r>
    <x v="189"/>
    <x v="1"/>
    <x v="2"/>
    <x v="1"/>
    <x v="1"/>
    <n v="86"/>
    <x v="2"/>
    <s v="Elderly"/>
    <x v="2"/>
    <n v="3526"/>
    <x v="1"/>
    <x v="6"/>
    <x v="2"/>
    <x v="1"/>
    <x v="1"/>
  </r>
  <r>
    <x v="190"/>
    <x v="4"/>
    <x v="0"/>
    <x v="0"/>
    <x v="1"/>
    <n v="28"/>
    <x v="0"/>
    <s v="Youth"/>
    <x v="5"/>
    <n v="17572"/>
    <x v="2"/>
    <x v="0"/>
    <x v="0"/>
    <x v="37"/>
    <x v="0"/>
  </r>
  <r>
    <x v="191"/>
    <x v="5"/>
    <x v="2"/>
    <x v="4"/>
    <x v="1"/>
    <n v="64"/>
    <x v="4"/>
    <s v="Elderly"/>
    <x v="2"/>
    <n v="4527"/>
    <x v="1"/>
    <x v="8"/>
    <x v="3"/>
    <x v="29"/>
    <x v="1"/>
  </r>
  <r>
    <x v="192"/>
    <x v="4"/>
    <x v="3"/>
    <x v="2"/>
    <x v="0"/>
    <n v="86"/>
    <x v="2"/>
    <s v="Elderly"/>
    <x v="2"/>
    <n v="3401"/>
    <x v="1"/>
    <x v="3"/>
    <x v="2"/>
    <x v="11"/>
    <x v="0"/>
  </r>
  <r>
    <x v="193"/>
    <x v="6"/>
    <x v="0"/>
    <x v="8"/>
    <x v="1"/>
    <n v="10"/>
    <x v="1"/>
    <s v="Child"/>
    <x v="3"/>
    <n v="19124"/>
    <x v="2"/>
    <x v="11"/>
    <x v="4"/>
    <x v="6"/>
    <x v="1"/>
  </r>
  <r>
    <x v="194"/>
    <x v="4"/>
    <x v="1"/>
    <x v="8"/>
    <x v="1"/>
    <n v="52"/>
    <x v="4"/>
    <s v="Middle Age"/>
    <x v="4"/>
    <n v="242"/>
    <x v="3"/>
    <x v="6"/>
    <x v="2"/>
    <x v="9"/>
    <x v="1"/>
  </r>
  <r>
    <x v="195"/>
    <x v="6"/>
    <x v="1"/>
    <x v="4"/>
    <x v="1"/>
    <n v="14"/>
    <x v="6"/>
    <s v="Teenager"/>
    <x v="6"/>
    <n v="698"/>
    <x v="3"/>
    <x v="6"/>
    <x v="2"/>
    <x v="50"/>
    <x v="3"/>
  </r>
  <r>
    <x v="196"/>
    <x v="4"/>
    <x v="0"/>
    <x v="8"/>
    <x v="0"/>
    <n v="44"/>
    <x v="3"/>
    <s v="Adult"/>
    <x v="0"/>
    <n v="8630"/>
    <x v="0"/>
    <x v="11"/>
    <x v="4"/>
    <x v="15"/>
    <x v="1"/>
  </r>
  <r>
    <x v="197"/>
    <x v="3"/>
    <x v="0"/>
    <x v="2"/>
    <x v="0"/>
    <n v="68"/>
    <x v="5"/>
    <s v="Elderly"/>
    <x v="2"/>
    <n v="13355"/>
    <x v="4"/>
    <x v="1"/>
    <x v="0"/>
    <x v="15"/>
    <x v="0"/>
  </r>
  <r>
    <x v="198"/>
    <x v="5"/>
    <x v="2"/>
    <x v="7"/>
    <x v="1"/>
    <n v="19"/>
    <x v="6"/>
    <s v="Teenager"/>
    <x v="6"/>
    <n v="3096"/>
    <x v="1"/>
    <x v="7"/>
    <x v="3"/>
    <x v="39"/>
    <x v="1"/>
  </r>
  <r>
    <x v="199"/>
    <x v="2"/>
    <x v="3"/>
    <x v="5"/>
    <x v="1"/>
    <n v="81"/>
    <x v="2"/>
    <s v="Elderly"/>
    <x v="2"/>
    <n v="4547"/>
    <x v="1"/>
    <x v="8"/>
    <x v="3"/>
    <x v="37"/>
    <x v="3"/>
  </r>
  <r>
    <x v="200"/>
    <x v="2"/>
    <x v="1"/>
    <x v="1"/>
    <x v="0"/>
    <n v="80"/>
    <x v="2"/>
    <s v="Elderly"/>
    <x v="2"/>
    <n v="861"/>
    <x v="3"/>
    <x v="4"/>
    <x v="2"/>
    <x v="34"/>
    <x v="0"/>
  </r>
  <r>
    <x v="201"/>
    <x v="3"/>
    <x v="1"/>
    <x v="5"/>
    <x v="1"/>
    <n v="81"/>
    <x v="2"/>
    <s v="Elderly"/>
    <x v="2"/>
    <n v="820"/>
    <x v="3"/>
    <x v="6"/>
    <x v="2"/>
    <x v="50"/>
    <x v="3"/>
  </r>
  <r>
    <x v="202"/>
    <x v="1"/>
    <x v="2"/>
    <x v="2"/>
    <x v="1"/>
    <n v="60"/>
    <x v="4"/>
    <s v="Middle Age"/>
    <x v="4"/>
    <n v="4702"/>
    <x v="1"/>
    <x v="6"/>
    <x v="2"/>
    <x v="19"/>
    <x v="1"/>
  </r>
  <r>
    <x v="203"/>
    <x v="5"/>
    <x v="2"/>
    <x v="5"/>
    <x v="0"/>
    <n v="12"/>
    <x v="1"/>
    <s v="Child"/>
    <x v="3"/>
    <n v="6038"/>
    <x v="1"/>
    <x v="11"/>
    <x v="4"/>
    <x v="4"/>
    <x v="1"/>
  </r>
  <r>
    <x v="204"/>
    <x v="4"/>
    <x v="0"/>
    <x v="6"/>
    <x v="0"/>
    <n v="74"/>
    <x v="5"/>
    <s v="Elderly"/>
    <x v="2"/>
    <n v="15679"/>
    <x v="2"/>
    <x v="1"/>
    <x v="0"/>
    <x v="34"/>
    <x v="0"/>
  </r>
  <r>
    <x v="205"/>
    <x v="2"/>
    <x v="1"/>
    <x v="2"/>
    <x v="1"/>
    <n v="8"/>
    <x v="1"/>
    <s v="Child"/>
    <x v="3"/>
    <n v="1122"/>
    <x v="3"/>
    <x v="3"/>
    <x v="2"/>
    <x v="47"/>
    <x v="0"/>
  </r>
  <r>
    <x v="206"/>
    <x v="0"/>
    <x v="0"/>
    <x v="2"/>
    <x v="0"/>
    <n v="6"/>
    <x v="1"/>
    <s v="Child"/>
    <x v="3"/>
    <n v="9059"/>
    <x v="0"/>
    <x v="14"/>
    <x v="4"/>
    <x v="36"/>
    <x v="1"/>
  </r>
  <r>
    <x v="207"/>
    <x v="2"/>
    <x v="3"/>
    <x v="4"/>
    <x v="1"/>
    <n v="37"/>
    <x v="3"/>
    <s v="Adult"/>
    <x v="0"/>
    <n v="3673"/>
    <x v="1"/>
    <x v="8"/>
    <x v="3"/>
    <x v="15"/>
    <x v="3"/>
  </r>
  <r>
    <x v="208"/>
    <x v="5"/>
    <x v="0"/>
    <x v="4"/>
    <x v="1"/>
    <n v="13"/>
    <x v="6"/>
    <s v="Teenager"/>
    <x v="6"/>
    <n v="14141"/>
    <x v="4"/>
    <x v="9"/>
    <x v="1"/>
    <x v="4"/>
    <x v="2"/>
  </r>
  <r>
    <x v="209"/>
    <x v="5"/>
    <x v="2"/>
    <x v="1"/>
    <x v="0"/>
    <n v="43"/>
    <x v="3"/>
    <s v="Adult"/>
    <x v="0"/>
    <n v="1667"/>
    <x v="3"/>
    <x v="8"/>
    <x v="3"/>
    <x v="8"/>
    <x v="0"/>
  </r>
  <r>
    <x v="210"/>
    <x v="5"/>
    <x v="1"/>
    <x v="7"/>
    <x v="0"/>
    <n v="11"/>
    <x v="1"/>
    <s v="Child"/>
    <x v="3"/>
    <n v="834"/>
    <x v="3"/>
    <x v="4"/>
    <x v="2"/>
    <x v="4"/>
    <x v="0"/>
  </r>
  <r>
    <x v="211"/>
    <x v="0"/>
    <x v="2"/>
    <x v="7"/>
    <x v="0"/>
    <n v="88"/>
    <x v="2"/>
    <s v="Elderly"/>
    <x v="2"/>
    <n v="5312"/>
    <x v="1"/>
    <x v="4"/>
    <x v="2"/>
    <x v="24"/>
    <x v="3"/>
  </r>
  <r>
    <x v="212"/>
    <x v="0"/>
    <x v="1"/>
    <x v="2"/>
    <x v="1"/>
    <n v="47"/>
    <x v="3"/>
    <s v="Middle Age"/>
    <x v="4"/>
    <n v="832"/>
    <x v="3"/>
    <x v="3"/>
    <x v="2"/>
    <x v="40"/>
    <x v="1"/>
  </r>
  <r>
    <x v="213"/>
    <x v="5"/>
    <x v="1"/>
    <x v="9"/>
    <x v="1"/>
    <n v="18"/>
    <x v="6"/>
    <s v="Teenager"/>
    <x v="6"/>
    <n v="517"/>
    <x v="3"/>
    <x v="3"/>
    <x v="2"/>
    <x v="42"/>
    <x v="1"/>
  </r>
  <r>
    <x v="214"/>
    <x v="6"/>
    <x v="0"/>
    <x v="2"/>
    <x v="0"/>
    <n v="68"/>
    <x v="5"/>
    <s v="Elderly"/>
    <x v="2"/>
    <n v="5618"/>
    <x v="1"/>
    <x v="9"/>
    <x v="1"/>
    <x v="47"/>
    <x v="2"/>
  </r>
  <r>
    <x v="215"/>
    <x v="6"/>
    <x v="3"/>
    <x v="1"/>
    <x v="1"/>
    <n v="21"/>
    <x v="0"/>
    <s v="Youth"/>
    <x v="5"/>
    <n v="1981"/>
    <x v="3"/>
    <x v="7"/>
    <x v="3"/>
    <x v="9"/>
    <x v="1"/>
  </r>
  <r>
    <x v="216"/>
    <x v="0"/>
    <x v="1"/>
    <x v="0"/>
    <x v="1"/>
    <n v="87"/>
    <x v="2"/>
    <s v="Elderly"/>
    <x v="2"/>
    <n v="1673"/>
    <x v="3"/>
    <x v="3"/>
    <x v="2"/>
    <x v="36"/>
    <x v="0"/>
  </r>
  <r>
    <x v="217"/>
    <x v="2"/>
    <x v="2"/>
    <x v="6"/>
    <x v="1"/>
    <n v="31"/>
    <x v="0"/>
    <s v="Adult"/>
    <x v="0"/>
    <n v="3535"/>
    <x v="1"/>
    <x v="5"/>
    <x v="0"/>
    <x v="49"/>
    <x v="1"/>
  </r>
  <r>
    <x v="218"/>
    <x v="5"/>
    <x v="1"/>
    <x v="6"/>
    <x v="0"/>
    <n v="49"/>
    <x v="3"/>
    <s v="Middle Age"/>
    <x v="4"/>
    <n v="1229"/>
    <x v="3"/>
    <x v="4"/>
    <x v="2"/>
    <x v="2"/>
    <x v="0"/>
  </r>
  <r>
    <x v="219"/>
    <x v="3"/>
    <x v="3"/>
    <x v="1"/>
    <x v="1"/>
    <n v="33"/>
    <x v="0"/>
    <s v="Adult"/>
    <x v="0"/>
    <n v="927"/>
    <x v="3"/>
    <x v="8"/>
    <x v="3"/>
    <x v="48"/>
    <x v="0"/>
  </r>
  <r>
    <x v="220"/>
    <x v="2"/>
    <x v="0"/>
    <x v="2"/>
    <x v="0"/>
    <n v="37"/>
    <x v="3"/>
    <s v="Adult"/>
    <x v="0"/>
    <n v="6374"/>
    <x v="1"/>
    <x v="0"/>
    <x v="0"/>
    <x v="10"/>
    <x v="1"/>
  </r>
  <r>
    <x v="221"/>
    <x v="4"/>
    <x v="3"/>
    <x v="8"/>
    <x v="1"/>
    <n v="29"/>
    <x v="0"/>
    <s v="Youth"/>
    <x v="5"/>
    <n v="4195"/>
    <x v="1"/>
    <x v="4"/>
    <x v="2"/>
    <x v="38"/>
    <x v="1"/>
  </r>
  <r>
    <x v="222"/>
    <x v="4"/>
    <x v="0"/>
    <x v="8"/>
    <x v="0"/>
    <n v="31"/>
    <x v="0"/>
    <s v="Adult"/>
    <x v="0"/>
    <n v="11326"/>
    <x v="4"/>
    <x v="10"/>
    <x v="3"/>
    <x v="48"/>
    <x v="0"/>
  </r>
  <r>
    <x v="223"/>
    <x v="3"/>
    <x v="0"/>
    <x v="4"/>
    <x v="0"/>
    <n v="84"/>
    <x v="2"/>
    <s v="Elderly"/>
    <x v="2"/>
    <n v="10493"/>
    <x v="0"/>
    <x v="0"/>
    <x v="0"/>
    <x v="29"/>
    <x v="1"/>
  </r>
  <r>
    <x v="224"/>
    <x v="1"/>
    <x v="2"/>
    <x v="6"/>
    <x v="0"/>
    <n v="18"/>
    <x v="6"/>
    <s v="Teenager"/>
    <x v="6"/>
    <n v="6779"/>
    <x v="1"/>
    <x v="5"/>
    <x v="0"/>
    <x v="36"/>
    <x v="0"/>
  </r>
  <r>
    <x v="225"/>
    <x v="2"/>
    <x v="0"/>
    <x v="5"/>
    <x v="1"/>
    <n v="28"/>
    <x v="0"/>
    <s v="Youth"/>
    <x v="5"/>
    <n v="18680"/>
    <x v="2"/>
    <x v="0"/>
    <x v="0"/>
    <x v="14"/>
    <x v="0"/>
  </r>
  <r>
    <x v="226"/>
    <x v="0"/>
    <x v="1"/>
    <x v="5"/>
    <x v="0"/>
    <n v="31"/>
    <x v="0"/>
    <s v="Adult"/>
    <x v="0"/>
    <n v="816"/>
    <x v="3"/>
    <x v="3"/>
    <x v="2"/>
    <x v="19"/>
    <x v="1"/>
  </r>
  <r>
    <x v="227"/>
    <x v="3"/>
    <x v="1"/>
    <x v="1"/>
    <x v="1"/>
    <n v="15"/>
    <x v="6"/>
    <s v="Teenager"/>
    <x v="6"/>
    <n v="1913"/>
    <x v="3"/>
    <x v="6"/>
    <x v="2"/>
    <x v="20"/>
    <x v="3"/>
  </r>
  <r>
    <x v="228"/>
    <x v="2"/>
    <x v="0"/>
    <x v="2"/>
    <x v="0"/>
    <n v="19"/>
    <x v="6"/>
    <s v="Teenager"/>
    <x v="6"/>
    <n v="9772"/>
    <x v="0"/>
    <x v="12"/>
    <x v="4"/>
    <x v="18"/>
    <x v="1"/>
  </r>
  <r>
    <x v="229"/>
    <x v="2"/>
    <x v="2"/>
    <x v="9"/>
    <x v="0"/>
    <n v="24"/>
    <x v="0"/>
    <s v="Youth"/>
    <x v="5"/>
    <n v="6442"/>
    <x v="1"/>
    <x v="4"/>
    <x v="2"/>
    <x v="41"/>
    <x v="0"/>
  </r>
  <r>
    <x v="230"/>
    <x v="5"/>
    <x v="0"/>
    <x v="2"/>
    <x v="0"/>
    <n v="65"/>
    <x v="5"/>
    <s v="Elderly"/>
    <x v="2"/>
    <n v="14079"/>
    <x v="4"/>
    <x v="7"/>
    <x v="3"/>
    <x v="4"/>
    <x v="0"/>
  </r>
  <r>
    <x v="231"/>
    <x v="6"/>
    <x v="1"/>
    <x v="0"/>
    <x v="0"/>
    <n v="48"/>
    <x v="3"/>
    <s v="Middle Age"/>
    <x v="4"/>
    <n v="719"/>
    <x v="3"/>
    <x v="4"/>
    <x v="2"/>
    <x v="38"/>
    <x v="1"/>
  </r>
  <r>
    <x v="232"/>
    <x v="5"/>
    <x v="0"/>
    <x v="4"/>
    <x v="1"/>
    <n v="85"/>
    <x v="2"/>
    <s v="Elderly"/>
    <x v="2"/>
    <n v="15293"/>
    <x v="2"/>
    <x v="10"/>
    <x v="3"/>
    <x v="15"/>
    <x v="0"/>
  </r>
  <r>
    <x v="233"/>
    <x v="2"/>
    <x v="2"/>
    <x v="7"/>
    <x v="1"/>
    <n v="70"/>
    <x v="5"/>
    <s v="Elderly"/>
    <x v="2"/>
    <n v="3773"/>
    <x v="1"/>
    <x v="8"/>
    <x v="3"/>
    <x v="15"/>
    <x v="3"/>
  </r>
  <r>
    <x v="234"/>
    <x v="0"/>
    <x v="1"/>
    <x v="6"/>
    <x v="0"/>
    <n v="18"/>
    <x v="6"/>
    <s v="Teenager"/>
    <x v="6"/>
    <n v="329"/>
    <x v="3"/>
    <x v="4"/>
    <x v="2"/>
    <x v="15"/>
    <x v="3"/>
  </r>
  <r>
    <x v="235"/>
    <x v="4"/>
    <x v="0"/>
    <x v="3"/>
    <x v="1"/>
    <n v="26"/>
    <x v="0"/>
    <s v="Youth"/>
    <x v="5"/>
    <n v="19512"/>
    <x v="2"/>
    <x v="7"/>
    <x v="3"/>
    <x v="34"/>
    <x v="0"/>
  </r>
  <r>
    <x v="236"/>
    <x v="5"/>
    <x v="1"/>
    <x v="2"/>
    <x v="1"/>
    <n v="5"/>
    <x v="1"/>
    <s v="Infant"/>
    <x v="1"/>
    <n v="1742"/>
    <x v="3"/>
    <x v="4"/>
    <x v="2"/>
    <x v="49"/>
    <x v="1"/>
  </r>
  <r>
    <x v="237"/>
    <x v="5"/>
    <x v="2"/>
    <x v="0"/>
    <x v="0"/>
    <n v="43"/>
    <x v="3"/>
    <s v="Adult"/>
    <x v="0"/>
    <n v="3238"/>
    <x v="1"/>
    <x v="4"/>
    <x v="2"/>
    <x v="48"/>
    <x v="0"/>
  </r>
  <r>
    <x v="238"/>
    <x v="4"/>
    <x v="1"/>
    <x v="6"/>
    <x v="0"/>
    <n v="50"/>
    <x v="4"/>
    <s v="Middle Age"/>
    <x v="4"/>
    <n v="894"/>
    <x v="3"/>
    <x v="3"/>
    <x v="2"/>
    <x v="12"/>
    <x v="0"/>
  </r>
  <r>
    <x v="239"/>
    <x v="0"/>
    <x v="1"/>
    <x v="4"/>
    <x v="0"/>
    <n v="67"/>
    <x v="5"/>
    <s v="Elderly"/>
    <x v="2"/>
    <n v="746"/>
    <x v="3"/>
    <x v="3"/>
    <x v="2"/>
    <x v="16"/>
    <x v="3"/>
  </r>
  <r>
    <x v="240"/>
    <x v="4"/>
    <x v="0"/>
    <x v="8"/>
    <x v="0"/>
    <n v="24"/>
    <x v="0"/>
    <s v="Youth"/>
    <x v="5"/>
    <n v="13937"/>
    <x v="4"/>
    <x v="5"/>
    <x v="0"/>
    <x v="34"/>
    <x v="0"/>
  </r>
  <r>
    <x v="241"/>
    <x v="1"/>
    <x v="0"/>
    <x v="4"/>
    <x v="0"/>
    <n v="40"/>
    <x v="3"/>
    <s v="Adult"/>
    <x v="0"/>
    <n v="12305"/>
    <x v="4"/>
    <x v="13"/>
    <x v="1"/>
    <x v="28"/>
    <x v="2"/>
  </r>
  <r>
    <x v="242"/>
    <x v="4"/>
    <x v="3"/>
    <x v="6"/>
    <x v="1"/>
    <n v="6"/>
    <x v="1"/>
    <s v="Child"/>
    <x v="3"/>
    <n v="3388"/>
    <x v="1"/>
    <x v="7"/>
    <x v="3"/>
    <x v="13"/>
    <x v="0"/>
  </r>
  <r>
    <x v="243"/>
    <x v="5"/>
    <x v="0"/>
    <x v="5"/>
    <x v="0"/>
    <n v="52"/>
    <x v="4"/>
    <s v="Middle Age"/>
    <x v="4"/>
    <n v="10952"/>
    <x v="0"/>
    <x v="2"/>
    <x v="1"/>
    <x v="0"/>
    <x v="2"/>
  </r>
  <r>
    <x v="244"/>
    <x v="0"/>
    <x v="3"/>
    <x v="0"/>
    <x v="1"/>
    <n v="78"/>
    <x v="5"/>
    <s v="Elderly"/>
    <x v="2"/>
    <n v="4089"/>
    <x v="1"/>
    <x v="3"/>
    <x v="2"/>
    <x v="29"/>
    <x v="1"/>
  </r>
  <r>
    <x v="245"/>
    <x v="1"/>
    <x v="3"/>
    <x v="4"/>
    <x v="1"/>
    <n v="73"/>
    <x v="5"/>
    <s v="Elderly"/>
    <x v="2"/>
    <n v="765"/>
    <x v="3"/>
    <x v="7"/>
    <x v="3"/>
    <x v="44"/>
    <x v="1"/>
  </r>
  <r>
    <x v="246"/>
    <x v="0"/>
    <x v="1"/>
    <x v="4"/>
    <x v="1"/>
    <n v="10"/>
    <x v="1"/>
    <s v="Child"/>
    <x v="3"/>
    <n v="1375"/>
    <x v="3"/>
    <x v="3"/>
    <x v="2"/>
    <x v="41"/>
    <x v="0"/>
  </r>
  <r>
    <x v="247"/>
    <x v="5"/>
    <x v="1"/>
    <x v="4"/>
    <x v="0"/>
    <n v="32"/>
    <x v="0"/>
    <s v="Adult"/>
    <x v="0"/>
    <n v="432"/>
    <x v="3"/>
    <x v="3"/>
    <x v="2"/>
    <x v="0"/>
    <x v="3"/>
  </r>
  <r>
    <x v="248"/>
    <x v="3"/>
    <x v="1"/>
    <x v="2"/>
    <x v="1"/>
    <n v="72"/>
    <x v="5"/>
    <s v="Elderly"/>
    <x v="2"/>
    <n v="441"/>
    <x v="3"/>
    <x v="6"/>
    <x v="2"/>
    <x v="15"/>
    <x v="3"/>
  </r>
  <r>
    <x v="249"/>
    <x v="5"/>
    <x v="1"/>
    <x v="9"/>
    <x v="2"/>
    <n v="37"/>
    <x v="3"/>
    <s v="Adult"/>
    <x v="0"/>
    <n v="1621"/>
    <x v="3"/>
    <x v="6"/>
    <x v="2"/>
    <x v="49"/>
    <x v="1"/>
  </r>
  <r>
    <x v="250"/>
    <x v="1"/>
    <x v="3"/>
    <x v="5"/>
    <x v="1"/>
    <n v="57"/>
    <x v="4"/>
    <s v="Middle Age"/>
    <x v="4"/>
    <n v="1219"/>
    <x v="3"/>
    <x v="4"/>
    <x v="2"/>
    <x v="25"/>
    <x v="3"/>
  </r>
  <r>
    <x v="251"/>
    <x v="5"/>
    <x v="0"/>
    <x v="2"/>
    <x v="0"/>
    <n v="39"/>
    <x v="3"/>
    <s v="Adult"/>
    <x v="0"/>
    <n v="18948"/>
    <x v="2"/>
    <x v="0"/>
    <x v="0"/>
    <x v="28"/>
    <x v="0"/>
  </r>
  <r>
    <x v="252"/>
    <x v="0"/>
    <x v="3"/>
    <x v="4"/>
    <x v="0"/>
    <n v="16"/>
    <x v="6"/>
    <s v="Teenager"/>
    <x v="6"/>
    <n v="2146"/>
    <x v="3"/>
    <x v="6"/>
    <x v="2"/>
    <x v="22"/>
    <x v="1"/>
  </r>
  <r>
    <x v="253"/>
    <x v="6"/>
    <x v="1"/>
    <x v="0"/>
    <x v="1"/>
    <n v="74"/>
    <x v="5"/>
    <s v="Elderly"/>
    <x v="2"/>
    <n v="955"/>
    <x v="3"/>
    <x v="6"/>
    <x v="2"/>
    <x v="14"/>
    <x v="3"/>
  </r>
  <r>
    <x v="254"/>
    <x v="3"/>
    <x v="0"/>
    <x v="5"/>
    <x v="1"/>
    <n v="62"/>
    <x v="4"/>
    <s v="Elderly"/>
    <x v="2"/>
    <n v="13612"/>
    <x v="4"/>
    <x v="12"/>
    <x v="4"/>
    <x v="15"/>
    <x v="1"/>
  </r>
  <r>
    <x v="255"/>
    <x v="4"/>
    <x v="0"/>
    <x v="7"/>
    <x v="0"/>
    <n v="83"/>
    <x v="2"/>
    <s v="Elderly"/>
    <x v="2"/>
    <n v="6215"/>
    <x v="1"/>
    <x v="14"/>
    <x v="4"/>
    <x v="23"/>
    <x v="1"/>
  </r>
  <r>
    <x v="256"/>
    <x v="0"/>
    <x v="2"/>
    <x v="7"/>
    <x v="0"/>
    <n v="71"/>
    <x v="5"/>
    <s v="Elderly"/>
    <x v="2"/>
    <n v="6241"/>
    <x v="1"/>
    <x v="8"/>
    <x v="3"/>
    <x v="15"/>
    <x v="3"/>
  </r>
  <r>
    <x v="257"/>
    <x v="3"/>
    <x v="1"/>
    <x v="2"/>
    <x v="0"/>
    <n v="8"/>
    <x v="1"/>
    <s v="Child"/>
    <x v="3"/>
    <n v="1902"/>
    <x v="3"/>
    <x v="3"/>
    <x v="2"/>
    <x v="41"/>
    <x v="0"/>
  </r>
  <r>
    <x v="258"/>
    <x v="3"/>
    <x v="2"/>
    <x v="7"/>
    <x v="1"/>
    <n v="29"/>
    <x v="0"/>
    <s v="Youth"/>
    <x v="5"/>
    <n v="3834"/>
    <x v="1"/>
    <x v="11"/>
    <x v="4"/>
    <x v="42"/>
    <x v="1"/>
  </r>
  <r>
    <x v="259"/>
    <x v="6"/>
    <x v="0"/>
    <x v="3"/>
    <x v="1"/>
    <n v="71"/>
    <x v="5"/>
    <s v="Elderly"/>
    <x v="2"/>
    <n v="9496"/>
    <x v="0"/>
    <x v="0"/>
    <x v="0"/>
    <x v="17"/>
    <x v="0"/>
  </r>
  <r>
    <x v="260"/>
    <x v="5"/>
    <x v="0"/>
    <x v="2"/>
    <x v="0"/>
    <n v="76"/>
    <x v="5"/>
    <s v="Elderly"/>
    <x v="2"/>
    <n v="14513"/>
    <x v="4"/>
    <x v="0"/>
    <x v="0"/>
    <x v="9"/>
    <x v="1"/>
  </r>
  <r>
    <x v="261"/>
    <x v="0"/>
    <x v="2"/>
    <x v="1"/>
    <x v="1"/>
    <n v="4"/>
    <x v="1"/>
    <s v="Infant"/>
    <x v="1"/>
    <n v="1665"/>
    <x v="3"/>
    <x v="6"/>
    <x v="2"/>
    <x v="24"/>
    <x v="3"/>
  </r>
  <r>
    <x v="262"/>
    <x v="6"/>
    <x v="2"/>
    <x v="9"/>
    <x v="0"/>
    <n v="54"/>
    <x v="4"/>
    <s v="Middle Age"/>
    <x v="4"/>
    <n v="6063"/>
    <x v="1"/>
    <x v="6"/>
    <x v="2"/>
    <x v="12"/>
    <x v="0"/>
  </r>
  <r>
    <x v="263"/>
    <x v="0"/>
    <x v="2"/>
    <x v="3"/>
    <x v="1"/>
    <n v="88"/>
    <x v="2"/>
    <s v="Elderly"/>
    <x v="2"/>
    <n v="4326"/>
    <x v="1"/>
    <x v="10"/>
    <x v="3"/>
    <x v="23"/>
    <x v="0"/>
  </r>
  <r>
    <x v="264"/>
    <x v="1"/>
    <x v="0"/>
    <x v="7"/>
    <x v="1"/>
    <n v="62"/>
    <x v="4"/>
    <s v="Elderly"/>
    <x v="2"/>
    <n v="12609"/>
    <x v="4"/>
    <x v="1"/>
    <x v="0"/>
    <x v="47"/>
    <x v="0"/>
  </r>
  <r>
    <x v="265"/>
    <x v="2"/>
    <x v="3"/>
    <x v="4"/>
    <x v="0"/>
    <n v="41"/>
    <x v="3"/>
    <s v="Adult"/>
    <x v="0"/>
    <n v="3329"/>
    <x v="1"/>
    <x v="8"/>
    <x v="3"/>
    <x v="29"/>
    <x v="1"/>
  </r>
  <r>
    <x v="266"/>
    <x v="6"/>
    <x v="2"/>
    <x v="2"/>
    <x v="0"/>
    <n v="41"/>
    <x v="3"/>
    <s v="Adult"/>
    <x v="0"/>
    <n v="2980"/>
    <x v="3"/>
    <x v="5"/>
    <x v="0"/>
    <x v="45"/>
    <x v="1"/>
  </r>
  <r>
    <x v="267"/>
    <x v="5"/>
    <x v="1"/>
    <x v="9"/>
    <x v="1"/>
    <n v="7"/>
    <x v="1"/>
    <s v="Child"/>
    <x v="3"/>
    <n v="794"/>
    <x v="3"/>
    <x v="6"/>
    <x v="2"/>
    <x v="26"/>
    <x v="3"/>
  </r>
  <r>
    <x v="268"/>
    <x v="4"/>
    <x v="3"/>
    <x v="7"/>
    <x v="0"/>
    <n v="74"/>
    <x v="5"/>
    <s v="Elderly"/>
    <x v="2"/>
    <n v="3061"/>
    <x v="1"/>
    <x v="6"/>
    <x v="2"/>
    <x v="37"/>
    <x v="3"/>
  </r>
  <r>
    <x v="269"/>
    <x v="3"/>
    <x v="1"/>
    <x v="2"/>
    <x v="1"/>
    <n v="40"/>
    <x v="3"/>
    <s v="Adult"/>
    <x v="0"/>
    <n v="1218"/>
    <x v="3"/>
    <x v="3"/>
    <x v="2"/>
    <x v="46"/>
    <x v="1"/>
  </r>
  <r>
    <x v="270"/>
    <x v="4"/>
    <x v="1"/>
    <x v="9"/>
    <x v="1"/>
    <n v="46"/>
    <x v="3"/>
    <s v="Middle Age"/>
    <x v="4"/>
    <n v="299"/>
    <x v="3"/>
    <x v="3"/>
    <x v="2"/>
    <x v="42"/>
    <x v="1"/>
  </r>
  <r>
    <x v="271"/>
    <x v="4"/>
    <x v="1"/>
    <x v="3"/>
    <x v="0"/>
    <n v="14"/>
    <x v="6"/>
    <s v="Teenager"/>
    <x v="6"/>
    <n v="1082"/>
    <x v="3"/>
    <x v="3"/>
    <x v="2"/>
    <x v="27"/>
    <x v="1"/>
  </r>
  <r>
    <x v="272"/>
    <x v="0"/>
    <x v="2"/>
    <x v="8"/>
    <x v="1"/>
    <n v="52"/>
    <x v="4"/>
    <s v="Middle Age"/>
    <x v="4"/>
    <n v="1419"/>
    <x v="3"/>
    <x v="11"/>
    <x v="4"/>
    <x v="49"/>
    <x v="1"/>
  </r>
  <r>
    <x v="273"/>
    <x v="5"/>
    <x v="2"/>
    <x v="5"/>
    <x v="1"/>
    <n v="58"/>
    <x v="4"/>
    <s v="Middle Age"/>
    <x v="4"/>
    <n v="5504"/>
    <x v="1"/>
    <x v="10"/>
    <x v="3"/>
    <x v="26"/>
    <x v="0"/>
  </r>
  <r>
    <x v="274"/>
    <x v="0"/>
    <x v="0"/>
    <x v="7"/>
    <x v="0"/>
    <n v="51"/>
    <x v="4"/>
    <s v="Middle Age"/>
    <x v="4"/>
    <n v="11114"/>
    <x v="4"/>
    <x v="11"/>
    <x v="4"/>
    <x v="14"/>
    <x v="1"/>
  </r>
  <r>
    <x v="275"/>
    <x v="5"/>
    <x v="3"/>
    <x v="9"/>
    <x v="0"/>
    <n v="52"/>
    <x v="4"/>
    <s v="Middle Age"/>
    <x v="4"/>
    <n v="4596"/>
    <x v="1"/>
    <x v="3"/>
    <x v="2"/>
    <x v="32"/>
    <x v="1"/>
  </r>
  <r>
    <x v="276"/>
    <x v="1"/>
    <x v="3"/>
    <x v="4"/>
    <x v="0"/>
    <n v="67"/>
    <x v="5"/>
    <s v="Elderly"/>
    <x v="2"/>
    <n v="4243"/>
    <x v="1"/>
    <x v="6"/>
    <x v="2"/>
    <x v="20"/>
    <x v="3"/>
  </r>
  <r>
    <x v="277"/>
    <x v="2"/>
    <x v="3"/>
    <x v="4"/>
    <x v="0"/>
    <n v="41"/>
    <x v="3"/>
    <s v="Adult"/>
    <x v="0"/>
    <n v="1831"/>
    <x v="3"/>
    <x v="8"/>
    <x v="3"/>
    <x v="26"/>
    <x v="3"/>
  </r>
  <r>
    <x v="278"/>
    <x v="0"/>
    <x v="2"/>
    <x v="1"/>
    <x v="1"/>
    <n v="66"/>
    <x v="5"/>
    <s v="Elderly"/>
    <x v="2"/>
    <n v="5360"/>
    <x v="1"/>
    <x v="5"/>
    <x v="0"/>
    <x v="28"/>
    <x v="0"/>
  </r>
  <r>
    <x v="279"/>
    <x v="2"/>
    <x v="2"/>
    <x v="6"/>
    <x v="0"/>
    <n v="48"/>
    <x v="3"/>
    <s v="Middle Age"/>
    <x v="4"/>
    <n v="3713"/>
    <x v="1"/>
    <x v="4"/>
    <x v="2"/>
    <x v="2"/>
    <x v="0"/>
  </r>
  <r>
    <x v="280"/>
    <x v="2"/>
    <x v="2"/>
    <x v="0"/>
    <x v="0"/>
    <n v="34"/>
    <x v="0"/>
    <s v="Adult"/>
    <x v="0"/>
    <n v="6370"/>
    <x v="1"/>
    <x v="7"/>
    <x v="3"/>
    <x v="16"/>
    <x v="3"/>
  </r>
  <r>
    <x v="281"/>
    <x v="1"/>
    <x v="1"/>
    <x v="7"/>
    <x v="0"/>
    <n v="80"/>
    <x v="2"/>
    <s v="Elderly"/>
    <x v="2"/>
    <n v="1786"/>
    <x v="3"/>
    <x v="6"/>
    <x v="2"/>
    <x v="44"/>
    <x v="1"/>
  </r>
  <r>
    <x v="282"/>
    <x v="6"/>
    <x v="3"/>
    <x v="0"/>
    <x v="0"/>
    <n v="90"/>
    <x v="2"/>
    <s v="Elderly"/>
    <x v="2"/>
    <n v="1400"/>
    <x v="3"/>
    <x v="6"/>
    <x v="2"/>
    <x v="38"/>
    <x v="1"/>
  </r>
  <r>
    <x v="283"/>
    <x v="4"/>
    <x v="2"/>
    <x v="8"/>
    <x v="1"/>
    <n v="89"/>
    <x v="2"/>
    <s v="Elderly"/>
    <x v="2"/>
    <n v="2670"/>
    <x v="3"/>
    <x v="1"/>
    <x v="0"/>
    <x v="33"/>
    <x v="0"/>
  </r>
  <r>
    <x v="284"/>
    <x v="6"/>
    <x v="1"/>
    <x v="0"/>
    <x v="0"/>
    <n v="67"/>
    <x v="5"/>
    <s v="Elderly"/>
    <x v="2"/>
    <n v="624"/>
    <x v="3"/>
    <x v="4"/>
    <x v="2"/>
    <x v="34"/>
    <x v="0"/>
  </r>
  <r>
    <x v="285"/>
    <x v="0"/>
    <x v="1"/>
    <x v="2"/>
    <x v="1"/>
    <n v="23"/>
    <x v="0"/>
    <s v="Youth"/>
    <x v="5"/>
    <n v="1141"/>
    <x v="3"/>
    <x v="4"/>
    <x v="2"/>
    <x v="47"/>
    <x v="0"/>
  </r>
  <r>
    <x v="286"/>
    <x v="2"/>
    <x v="2"/>
    <x v="3"/>
    <x v="0"/>
    <n v="25"/>
    <x v="0"/>
    <s v="Youth"/>
    <x v="5"/>
    <n v="3019"/>
    <x v="1"/>
    <x v="10"/>
    <x v="3"/>
    <x v="14"/>
    <x v="0"/>
  </r>
  <r>
    <x v="287"/>
    <x v="5"/>
    <x v="3"/>
    <x v="3"/>
    <x v="0"/>
    <n v="27"/>
    <x v="0"/>
    <s v="Youth"/>
    <x v="5"/>
    <n v="4505"/>
    <x v="1"/>
    <x v="4"/>
    <x v="2"/>
    <x v="43"/>
    <x v="0"/>
  </r>
  <r>
    <x v="288"/>
    <x v="5"/>
    <x v="2"/>
    <x v="3"/>
    <x v="1"/>
    <n v="87"/>
    <x v="2"/>
    <s v="Elderly"/>
    <x v="2"/>
    <n v="5449"/>
    <x v="1"/>
    <x v="1"/>
    <x v="0"/>
    <x v="11"/>
    <x v="0"/>
  </r>
  <r>
    <x v="289"/>
    <x v="6"/>
    <x v="2"/>
    <x v="7"/>
    <x v="1"/>
    <n v="37"/>
    <x v="3"/>
    <s v="Adult"/>
    <x v="0"/>
    <n v="6850"/>
    <x v="1"/>
    <x v="4"/>
    <x v="2"/>
    <x v="8"/>
    <x v="0"/>
  </r>
  <r>
    <x v="290"/>
    <x v="4"/>
    <x v="2"/>
    <x v="6"/>
    <x v="1"/>
    <n v="69"/>
    <x v="5"/>
    <s v="Elderly"/>
    <x v="2"/>
    <n v="3221"/>
    <x v="1"/>
    <x v="11"/>
    <x v="4"/>
    <x v="3"/>
    <x v="1"/>
  </r>
  <r>
    <x v="291"/>
    <x v="5"/>
    <x v="3"/>
    <x v="5"/>
    <x v="0"/>
    <n v="76"/>
    <x v="5"/>
    <s v="Elderly"/>
    <x v="2"/>
    <n v="2460"/>
    <x v="3"/>
    <x v="6"/>
    <x v="2"/>
    <x v="19"/>
    <x v="1"/>
  </r>
  <r>
    <x v="292"/>
    <x v="0"/>
    <x v="3"/>
    <x v="9"/>
    <x v="1"/>
    <n v="53"/>
    <x v="4"/>
    <s v="Middle Age"/>
    <x v="4"/>
    <n v="3205"/>
    <x v="1"/>
    <x v="8"/>
    <x v="3"/>
    <x v="7"/>
    <x v="1"/>
  </r>
  <r>
    <x v="293"/>
    <x v="0"/>
    <x v="3"/>
    <x v="0"/>
    <x v="0"/>
    <n v="21"/>
    <x v="0"/>
    <s v="Youth"/>
    <x v="5"/>
    <n v="3833"/>
    <x v="1"/>
    <x v="8"/>
    <x v="3"/>
    <x v="43"/>
    <x v="0"/>
  </r>
  <r>
    <x v="294"/>
    <x v="0"/>
    <x v="3"/>
    <x v="3"/>
    <x v="1"/>
    <n v="83"/>
    <x v="2"/>
    <s v="Elderly"/>
    <x v="2"/>
    <n v="984"/>
    <x v="3"/>
    <x v="3"/>
    <x v="2"/>
    <x v="24"/>
    <x v="3"/>
  </r>
  <r>
    <x v="295"/>
    <x v="2"/>
    <x v="3"/>
    <x v="2"/>
    <x v="0"/>
    <n v="5"/>
    <x v="1"/>
    <s v="Infant"/>
    <x v="1"/>
    <n v="1934"/>
    <x v="3"/>
    <x v="8"/>
    <x v="3"/>
    <x v="39"/>
    <x v="1"/>
  </r>
  <r>
    <x v="296"/>
    <x v="1"/>
    <x v="1"/>
    <x v="6"/>
    <x v="1"/>
    <n v="38"/>
    <x v="3"/>
    <s v="Adult"/>
    <x v="0"/>
    <n v="1995"/>
    <x v="3"/>
    <x v="3"/>
    <x v="2"/>
    <x v="18"/>
    <x v="1"/>
  </r>
  <r>
    <x v="297"/>
    <x v="5"/>
    <x v="0"/>
    <x v="4"/>
    <x v="1"/>
    <n v="83"/>
    <x v="2"/>
    <s v="Elderly"/>
    <x v="2"/>
    <n v="13901"/>
    <x v="4"/>
    <x v="2"/>
    <x v="1"/>
    <x v="12"/>
    <x v="2"/>
  </r>
  <r>
    <x v="298"/>
    <x v="3"/>
    <x v="1"/>
    <x v="3"/>
    <x v="1"/>
    <n v="15"/>
    <x v="6"/>
    <s v="Teenager"/>
    <x v="6"/>
    <n v="877"/>
    <x v="3"/>
    <x v="3"/>
    <x v="2"/>
    <x v="16"/>
    <x v="3"/>
  </r>
  <r>
    <x v="299"/>
    <x v="4"/>
    <x v="2"/>
    <x v="7"/>
    <x v="1"/>
    <n v="44"/>
    <x v="3"/>
    <s v="Adult"/>
    <x v="0"/>
    <n v="3416"/>
    <x v="1"/>
    <x v="7"/>
    <x v="3"/>
    <x v="39"/>
    <x v="1"/>
  </r>
  <r>
    <x v="300"/>
    <x v="2"/>
    <x v="1"/>
    <x v="8"/>
    <x v="0"/>
    <n v="12"/>
    <x v="1"/>
    <s v="Child"/>
    <x v="3"/>
    <n v="1020"/>
    <x v="3"/>
    <x v="4"/>
    <x v="2"/>
    <x v="7"/>
    <x v="1"/>
  </r>
  <r>
    <x v="301"/>
    <x v="3"/>
    <x v="3"/>
    <x v="6"/>
    <x v="1"/>
    <n v="32"/>
    <x v="0"/>
    <s v="Adult"/>
    <x v="0"/>
    <n v="555"/>
    <x v="3"/>
    <x v="4"/>
    <x v="2"/>
    <x v="4"/>
    <x v="0"/>
  </r>
  <r>
    <x v="302"/>
    <x v="3"/>
    <x v="1"/>
    <x v="3"/>
    <x v="0"/>
    <n v="39"/>
    <x v="3"/>
    <s v="Adult"/>
    <x v="0"/>
    <n v="1392"/>
    <x v="3"/>
    <x v="4"/>
    <x v="2"/>
    <x v="6"/>
    <x v="3"/>
  </r>
  <r>
    <x v="303"/>
    <x v="1"/>
    <x v="2"/>
    <x v="4"/>
    <x v="0"/>
    <n v="8"/>
    <x v="1"/>
    <s v="Child"/>
    <x v="3"/>
    <n v="6470"/>
    <x v="1"/>
    <x v="4"/>
    <x v="2"/>
    <x v="23"/>
    <x v="0"/>
  </r>
  <r>
    <x v="304"/>
    <x v="5"/>
    <x v="3"/>
    <x v="8"/>
    <x v="0"/>
    <n v="40"/>
    <x v="3"/>
    <s v="Adult"/>
    <x v="0"/>
    <n v="1461"/>
    <x v="3"/>
    <x v="4"/>
    <x v="2"/>
    <x v="48"/>
    <x v="0"/>
  </r>
  <r>
    <x v="305"/>
    <x v="2"/>
    <x v="3"/>
    <x v="9"/>
    <x v="0"/>
    <n v="62"/>
    <x v="4"/>
    <s v="Elderly"/>
    <x v="2"/>
    <n v="1754"/>
    <x v="3"/>
    <x v="8"/>
    <x v="3"/>
    <x v="0"/>
    <x v="3"/>
  </r>
  <r>
    <x v="306"/>
    <x v="2"/>
    <x v="2"/>
    <x v="8"/>
    <x v="0"/>
    <n v="61"/>
    <x v="4"/>
    <s v="Elderly"/>
    <x v="2"/>
    <n v="5403"/>
    <x v="1"/>
    <x v="7"/>
    <x v="3"/>
    <x v="37"/>
    <x v="3"/>
  </r>
  <r>
    <x v="307"/>
    <x v="3"/>
    <x v="0"/>
    <x v="2"/>
    <x v="1"/>
    <n v="47"/>
    <x v="3"/>
    <s v="Middle Age"/>
    <x v="4"/>
    <n v="6279"/>
    <x v="1"/>
    <x v="13"/>
    <x v="1"/>
    <x v="45"/>
    <x v="2"/>
  </r>
  <r>
    <x v="308"/>
    <x v="1"/>
    <x v="3"/>
    <x v="1"/>
    <x v="0"/>
    <n v="22"/>
    <x v="0"/>
    <s v="Youth"/>
    <x v="5"/>
    <n v="3187"/>
    <x v="1"/>
    <x v="7"/>
    <x v="3"/>
    <x v="36"/>
    <x v="0"/>
  </r>
  <r>
    <x v="309"/>
    <x v="1"/>
    <x v="3"/>
    <x v="1"/>
    <x v="1"/>
    <n v="66"/>
    <x v="5"/>
    <s v="Elderly"/>
    <x v="2"/>
    <n v="4149"/>
    <x v="1"/>
    <x v="3"/>
    <x v="2"/>
    <x v="23"/>
    <x v="0"/>
  </r>
  <r>
    <x v="310"/>
    <x v="3"/>
    <x v="1"/>
    <x v="6"/>
    <x v="0"/>
    <n v="72"/>
    <x v="5"/>
    <s v="Elderly"/>
    <x v="2"/>
    <n v="1146"/>
    <x v="3"/>
    <x v="4"/>
    <x v="2"/>
    <x v="35"/>
    <x v="1"/>
  </r>
  <r>
    <x v="311"/>
    <x v="0"/>
    <x v="0"/>
    <x v="8"/>
    <x v="1"/>
    <n v="1"/>
    <x v="1"/>
    <s v="Infant"/>
    <x v="1"/>
    <n v="17219"/>
    <x v="2"/>
    <x v="1"/>
    <x v="0"/>
    <x v="50"/>
    <x v="0"/>
  </r>
  <r>
    <x v="312"/>
    <x v="1"/>
    <x v="0"/>
    <x v="8"/>
    <x v="1"/>
    <n v="9"/>
    <x v="1"/>
    <s v="Child"/>
    <x v="3"/>
    <n v="13866"/>
    <x v="4"/>
    <x v="7"/>
    <x v="3"/>
    <x v="21"/>
    <x v="1"/>
  </r>
  <r>
    <x v="313"/>
    <x v="4"/>
    <x v="0"/>
    <x v="3"/>
    <x v="1"/>
    <n v="18"/>
    <x v="6"/>
    <s v="Teenager"/>
    <x v="6"/>
    <n v="17547"/>
    <x v="2"/>
    <x v="9"/>
    <x v="1"/>
    <x v="16"/>
    <x v="2"/>
  </r>
  <r>
    <x v="314"/>
    <x v="0"/>
    <x v="1"/>
    <x v="4"/>
    <x v="2"/>
    <n v="49"/>
    <x v="3"/>
    <s v="Middle Age"/>
    <x v="4"/>
    <n v="1118"/>
    <x v="3"/>
    <x v="6"/>
    <x v="2"/>
    <x v="4"/>
    <x v="0"/>
  </r>
  <r>
    <x v="315"/>
    <x v="1"/>
    <x v="3"/>
    <x v="4"/>
    <x v="1"/>
    <n v="69"/>
    <x v="5"/>
    <s v="Elderly"/>
    <x v="2"/>
    <n v="3719"/>
    <x v="1"/>
    <x v="7"/>
    <x v="3"/>
    <x v="29"/>
    <x v="1"/>
  </r>
  <r>
    <x v="316"/>
    <x v="0"/>
    <x v="3"/>
    <x v="0"/>
    <x v="0"/>
    <n v="39"/>
    <x v="3"/>
    <s v="Adult"/>
    <x v="0"/>
    <n v="4292"/>
    <x v="1"/>
    <x v="7"/>
    <x v="3"/>
    <x v="13"/>
    <x v="0"/>
  </r>
  <r>
    <x v="317"/>
    <x v="2"/>
    <x v="1"/>
    <x v="9"/>
    <x v="1"/>
    <n v="45"/>
    <x v="3"/>
    <s v="Middle Age"/>
    <x v="4"/>
    <n v="517"/>
    <x v="3"/>
    <x v="6"/>
    <x v="2"/>
    <x v="49"/>
    <x v="1"/>
  </r>
  <r>
    <x v="318"/>
    <x v="0"/>
    <x v="0"/>
    <x v="0"/>
    <x v="0"/>
    <n v="54"/>
    <x v="4"/>
    <s v="Middle Age"/>
    <x v="4"/>
    <n v="15074"/>
    <x v="2"/>
    <x v="7"/>
    <x v="3"/>
    <x v="22"/>
    <x v="1"/>
  </r>
  <r>
    <x v="319"/>
    <x v="3"/>
    <x v="0"/>
    <x v="5"/>
    <x v="0"/>
    <n v="58"/>
    <x v="4"/>
    <s v="Middle Age"/>
    <x v="4"/>
    <n v="14794"/>
    <x v="4"/>
    <x v="9"/>
    <x v="1"/>
    <x v="28"/>
    <x v="2"/>
  </r>
  <r>
    <x v="320"/>
    <x v="6"/>
    <x v="0"/>
    <x v="9"/>
    <x v="0"/>
    <n v="52"/>
    <x v="4"/>
    <s v="Middle Age"/>
    <x v="4"/>
    <n v="12191"/>
    <x v="4"/>
    <x v="1"/>
    <x v="0"/>
    <x v="5"/>
    <x v="0"/>
  </r>
  <r>
    <x v="321"/>
    <x v="3"/>
    <x v="0"/>
    <x v="7"/>
    <x v="0"/>
    <n v="38"/>
    <x v="3"/>
    <s v="Adult"/>
    <x v="0"/>
    <n v="8836"/>
    <x v="0"/>
    <x v="13"/>
    <x v="1"/>
    <x v="34"/>
    <x v="2"/>
  </r>
  <r>
    <x v="322"/>
    <x v="2"/>
    <x v="2"/>
    <x v="9"/>
    <x v="1"/>
    <n v="19"/>
    <x v="6"/>
    <s v="Teenager"/>
    <x v="6"/>
    <n v="6408"/>
    <x v="1"/>
    <x v="11"/>
    <x v="4"/>
    <x v="1"/>
    <x v="1"/>
  </r>
  <r>
    <x v="323"/>
    <x v="4"/>
    <x v="2"/>
    <x v="3"/>
    <x v="1"/>
    <n v="76"/>
    <x v="5"/>
    <s v="Elderly"/>
    <x v="2"/>
    <n v="2434"/>
    <x v="3"/>
    <x v="1"/>
    <x v="0"/>
    <x v="14"/>
    <x v="0"/>
  </r>
  <r>
    <x v="324"/>
    <x v="4"/>
    <x v="0"/>
    <x v="4"/>
    <x v="0"/>
    <n v="86"/>
    <x v="2"/>
    <s v="Elderly"/>
    <x v="2"/>
    <n v="11244"/>
    <x v="4"/>
    <x v="2"/>
    <x v="1"/>
    <x v="34"/>
    <x v="2"/>
  </r>
  <r>
    <x v="325"/>
    <x v="0"/>
    <x v="1"/>
    <x v="8"/>
    <x v="1"/>
    <n v="49"/>
    <x v="3"/>
    <s v="Middle Age"/>
    <x v="4"/>
    <n v="576"/>
    <x v="3"/>
    <x v="4"/>
    <x v="2"/>
    <x v="43"/>
    <x v="0"/>
  </r>
  <r>
    <x v="326"/>
    <x v="3"/>
    <x v="3"/>
    <x v="3"/>
    <x v="0"/>
    <n v="19"/>
    <x v="6"/>
    <s v="Teenager"/>
    <x v="6"/>
    <n v="4293"/>
    <x v="1"/>
    <x v="3"/>
    <x v="2"/>
    <x v="14"/>
    <x v="3"/>
  </r>
  <r>
    <x v="327"/>
    <x v="4"/>
    <x v="1"/>
    <x v="2"/>
    <x v="0"/>
    <n v="50"/>
    <x v="4"/>
    <s v="Middle Age"/>
    <x v="4"/>
    <n v="697"/>
    <x v="3"/>
    <x v="6"/>
    <x v="2"/>
    <x v="40"/>
    <x v="1"/>
  </r>
  <r>
    <x v="328"/>
    <x v="5"/>
    <x v="0"/>
    <x v="6"/>
    <x v="0"/>
    <n v="12"/>
    <x v="1"/>
    <s v="Child"/>
    <x v="3"/>
    <n v="13775"/>
    <x v="4"/>
    <x v="1"/>
    <x v="0"/>
    <x v="19"/>
    <x v="1"/>
  </r>
  <r>
    <x v="329"/>
    <x v="5"/>
    <x v="1"/>
    <x v="1"/>
    <x v="0"/>
    <n v="10"/>
    <x v="1"/>
    <s v="Child"/>
    <x v="3"/>
    <n v="585"/>
    <x v="3"/>
    <x v="4"/>
    <x v="2"/>
    <x v="16"/>
    <x v="3"/>
  </r>
  <r>
    <x v="330"/>
    <x v="0"/>
    <x v="3"/>
    <x v="6"/>
    <x v="1"/>
    <n v="43"/>
    <x v="3"/>
    <s v="Adult"/>
    <x v="0"/>
    <n v="2983"/>
    <x v="3"/>
    <x v="3"/>
    <x v="2"/>
    <x v="40"/>
    <x v="1"/>
  </r>
  <r>
    <x v="331"/>
    <x v="3"/>
    <x v="0"/>
    <x v="6"/>
    <x v="0"/>
    <n v="90"/>
    <x v="2"/>
    <s v="Elderly"/>
    <x v="2"/>
    <n v="14902"/>
    <x v="4"/>
    <x v="1"/>
    <x v="0"/>
    <x v="11"/>
    <x v="0"/>
  </r>
  <r>
    <x v="332"/>
    <x v="3"/>
    <x v="2"/>
    <x v="3"/>
    <x v="1"/>
    <n v="69"/>
    <x v="5"/>
    <s v="Elderly"/>
    <x v="2"/>
    <n v="6314"/>
    <x v="1"/>
    <x v="0"/>
    <x v="0"/>
    <x v="35"/>
    <x v="1"/>
  </r>
  <r>
    <x v="333"/>
    <x v="5"/>
    <x v="2"/>
    <x v="2"/>
    <x v="0"/>
    <n v="60"/>
    <x v="4"/>
    <s v="Middle Age"/>
    <x v="4"/>
    <n v="1807"/>
    <x v="3"/>
    <x v="5"/>
    <x v="0"/>
    <x v="37"/>
    <x v="0"/>
  </r>
  <r>
    <x v="334"/>
    <x v="6"/>
    <x v="2"/>
    <x v="9"/>
    <x v="1"/>
    <n v="53"/>
    <x v="4"/>
    <s v="Middle Age"/>
    <x v="4"/>
    <n v="1374"/>
    <x v="3"/>
    <x v="7"/>
    <x v="3"/>
    <x v="0"/>
    <x v="3"/>
  </r>
  <r>
    <x v="335"/>
    <x v="3"/>
    <x v="0"/>
    <x v="3"/>
    <x v="0"/>
    <n v="75"/>
    <x v="5"/>
    <s v="Elderly"/>
    <x v="2"/>
    <n v="14488"/>
    <x v="4"/>
    <x v="12"/>
    <x v="4"/>
    <x v="42"/>
    <x v="1"/>
  </r>
  <r>
    <x v="336"/>
    <x v="3"/>
    <x v="3"/>
    <x v="4"/>
    <x v="1"/>
    <n v="73"/>
    <x v="5"/>
    <s v="Elderly"/>
    <x v="2"/>
    <n v="2513"/>
    <x v="3"/>
    <x v="8"/>
    <x v="3"/>
    <x v="14"/>
    <x v="3"/>
  </r>
  <r>
    <x v="337"/>
    <x v="0"/>
    <x v="2"/>
    <x v="3"/>
    <x v="0"/>
    <n v="63"/>
    <x v="4"/>
    <s v="Elderly"/>
    <x v="2"/>
    <n v="6927"/>
    <x v="1"/>
    <x v="5"/>
    <x v="0"/>
    <x v="23"/>
    <x v="0"/>
  </r>
  <r>
    <x v="338"/>
    <x v="3"/>
    <x v="2"/>
    <x v="7"/>
    <x v="1"/>
    <n v="70"/>
    <x v="5"/>
    <s v="Elderly"/>
    <x v="2"/>
    <n v="5000"/>
    <x v="1"/>
    <x v="8"/>
    <x v="3"/>
    <x v="5"/>
    <x v="0"/>
  </r>
  <r>
    <x v="339"/>
    <x v="0"/>
    <x v="0"/>
    <x v="2"/>
    <x v="1"/>
    <n v="10"/>
    <x v="1"/>
    <s v="Child"/>
    <x v="3"/>
    <n v="18402"/>
    <x v="2"/>
    <x v="9"/>
    <x v="1"/>
    <x v="19"/>
    <x v="2"/>
  </r>
  <r>
    <x v="340"/>
    <x v="6"/>
    <x v="0"/>
    <x v="8"/>
    <x v="1"/>
    <n v="81"/>
    <x v="2"/>
    <s v="Elderly"/>
    <x v="2"/>
    <n v="8791"/>
    <x v="0"/>
    <x v="10"/>
    <x v="3"/>
    <x v="28"/>
    <x v="0"/>
  </r>
  <r>
    <x v="341"/>
    <x v="3"/>
    <x v="0"/>
    <x v="9"/>
    <x v="0"/>
    <n v="48"/>
    <x v="3"/>
    <s v="Middle Age"/>
    <x v="4"/>
    <n v="5990"/>
    <x v="1"/>
    <x v="13"/>
    <x v="1"/>
    <x v="17"/>
    <x v="2"/>
  </r>
  <r>
    <x v="342"/>
    <x v="0"/>
    <x v="1"/>
    <x v="6"/>
    <x v="1"/>
    <n v="69"/>
    <x v="5"/>
    <s v="Elderly"/>
    <x v="2"/>
    <n v="1329"/>
    <x v="3"/>
    <x v="6"/>
    <x v="2"/>
    <x v="18"/>
    <x v="1"/>
  </r>
  <r>
    <x v="343"/>
    <x v="1"/>
    <x v="2"/>
    <x v="2"/>
    <x v="0"/>
    <n v="3"/>
    <x v="1"/>
    <s v="Infant"/>
    <x v="1"/>
    <n v="5114"/>
    <x v="1"/>
    <x v="1"/>
    <x v="0"/>
    <x v="39"/>
    <x v="1"/>
  </r>
  <r>
    <x v="344"/>
    <x v="1"/>
    <x v="0"/>
    <x v="2"/>
    <x v="1"/>
    <n v="25"/>
    <x v="0"/>
    <s v="Youth"/>
    <x v="5"/>
    <n v="15154"/>
    <x v="2"/>
    <x v="2"/>
    <x v="1"/>
    <x v="27"/>
    <x v="2"/>
  </r>
  <r>
    <x v="345"/>
    <x v="6"/>
    <x v="2"/>
    <x v="3"/>
    <x v="0"/>
    <n v="11"/>
    <x v="1"/>
    <s v="Child"/>
    <x v="3"/>
    <n v="4056"/>
    <x v="1"/>
    <x v="1"/>
    <x v="0"/>
    <x v="23"/>
    <x v="0"/>
  </r>
  <r>
    <x v="346"/>
    <x v="2"/>
    <x v="3"/>
    <x v="9"/>
    <x v="1"/>
    <n v="11"/>
    <x v="1"/>
    <s v="Child"/>
    <x v="3"/>
    <n v="759"/>
    <x v="3"/>
    <x v="3"/>
    <x v="2"/>
    <x v="11"/>
    <x v="0"/>
  </r>
  <r>
    <x v="347"/>
    <x v="4"/>
    <x v="1"/>
    <x v="2"/>
    <x v="1"/>
    <n v="82"/>
    <x v="2"/>
    <s v="Elderly"/>
    <x v="2"/>
    <n v="219"/>
    <x v="3"/>
    <x v="4"/>
    <x v="2"/>
    <x v="9"/>
    <x v="1"/>
  </r>
  <r>
    <x v="348"/>
    <x v="1"/>
    <x v="1"/>
    <x v="8"/>
    <x v="0"/>
    <n v="43"/>
    <x v="3"/>
    <s v="Adult"/>
    <x v="0"/>
    <n v="1358"/>
    <x v="3"/>
    <x v="3"/>
    <x v="2"/>
    <x v="41"/>
    <x v="0"/>
  </r>
  <r>
    <x v="349"/>
    <x v="1"/>
    <x v="3"/>
    <x v="9"/>
    <x v="0"/>
    <n v="89"/>
    <x v="2"/>
    <s v="Elderly"/>
    <x v="2"/>
    <n v="4395"/>
    <x v="1"/>
    <x v="4"/>
    <x v="2"/>
    <x v="32"/>
    <x v="1"/>
  </r>
  <r>
    <x v="350"/>
    <x v="1"/>
    <x v="2"/>
    <x v="2"/>
    <x v="0"/>
    <n v="5"/>
    <x v="1"/>
    <s v="Infant"/>
    <x v="1"/>
    <n v="2469"/>
    <x v="3"/>
    <x v="0"/>
    <x v="0"/>
    <x v="38"/>
    <x v="1"/>
  </r>
  <r>
    <x v="351"/>
    <x v="3"/>
    <x v="3"/>
    <x v="8"/>
    <x v="0"/>
    <n v="39"/>
    <x v="3"/>
    <s v="Adult"/>
    <x v="0"/>
    <n v="1830"/>
    <x v="3"/>
    <x v="7"/>
    <x v="3"/>
    <x v="22"/>
    <x v="1"/>
  </r>
  <r>
    <x v="352"/>
    <x v="2"/>
    <x v="1"/>
    <x v="2"/>
    <x v="1"/>
    <n v="18"/>
    <x v="6"/>
    <s v="Teenager"/>
    <x v="6"/>
    <n v="1818"/>
    <x v="3"/>
    <x v="4"/>
    <x v="2"/>
    <x v="16"/>
    <x v="3"/>
  </r>
  <r>
    <x v="353"/>
    <x v="1"/>
    <x v="2"/>
    <x v="0"/>
    <x v="1"/>
    <n v="30"/>
    <x v="0"/>
    <s v="Adult"/>
    <x v="0"/>
    <n v="1622"/>
    <x v="3"/>
    <x v="0"/>
    <x v="0"/>
    <x v="20"/>
    <x v="0"/>
  </r>
  <r>
    <x v="354"/>
    <x v="6"/>
    <x v="1"/>
    <x v="4"/>
    <x v="1"/>
    <n v="35"/>
    <x v="3"/>
    <s v="Adult"/>
    <x v="0"/>
    <n v="1804"/>
    <x v="3"/>
    <x v="6"/>
    <x v="2"/>
    <x v="12"/>
    <x v="0"/>
  </r>
  <r>
    <x v="355"/>
    <x v="3"/>
    <x v="2"/>
    <x v="2"/>
    <x v="0"/>
    <n v="56"/>
    <x v="4"/>
    <s v="Middle Age"/>
    <x v="4"/>
    <n v="2521"/>
    <x v="3"/>
    <x v="1"/>
    <x v="0"/>
    <x v="46"/>
    <x v="1"/>
  </r>
  <r>
    <x v="356"/>
    <x v="6"/>
    <x v="2"/>
    <x v="9"/>
    <x v="0"/>
    <n v="11"/>
    <x v="1"/>
    <s v="Child"/>
    <x v="3"/>
    <n v="3195"/>
    <x v="1"/>
    <x v="8"/>
    <x v="3"/>
    <x v="4"/>
    <x v="0"/>
  </r>
  <r>
    <x v="357"/>
    <x v="0"/>
    <x v="3"/>
    <x v="8"/>
    <x v="1"/>
    <n v="14"/>
    <x v="6"/>
    <s v="Teenager"/>
    <x v="6"/>
    <n v="1249"/>
    <x v="3"/>
    <x v="3"/>
    <x v="2"/>
    <x v="35"/>
    <x v="1"/>
  </r>
  <r>
    <x v="358"/>
    <x v="4"/>
    <x v="2"/>
    <x v="3"/>
    <x v="1"/>
    <n v="12"/>
    <x v="1"/>
    <s v="Child"/>
    <x v="3"/>
    <n v="2535"/>
    <x v="3"/>
    <x v="1"/>
    <x v="0"/>
    <x v="36"/>
    <x v="0"/>
  </r>
  <r>
    <x v="359"/>
    <x v="2"/>
    <x v="1"/>
    <x v="5"/>
    <x v="1"/>
    <n v="46"/>
    <x v="3"/>
    <s v="Middle Age"/>
    <x v="4"/>
    <n v="1335"/>
    <x v="3"/>
    <x v="3"/>
    <x v="2"/>
    <x v="20"/>
    <x v="3"/>
  </r>
  <r>
    <x v="360"/>
    <x v="2"/>
    <x v="2"/>
    <x v="8"/>
    <x v="1"/>
    <n v="53"/>
    <x v="4"/>
    <s v="Middle Age"/>
    <x v="4"/>
    <n v="4176"/>
    <x v="1"/>
    <x v="4"/>
    <x v="2"/>
    <x v="16"/>
    <x v="3"/>
  </r>
  <r>
    <x v="361"/>
    <x v="2"/>
    <x v="3"/>
    <x v="1"/>
    <x v="0"/>
    <n v="88"/>
    <x v="2"/>
    <s v="Elderly"/>
    <x v="2"/>
    <n v="3618"/>
    <x v="1"/>
    <x v="6"/>
    <x v="2"/>
    <x v="29"/>
    <x v="1"/>
  </r>
  <r>
    <x v="362"/>
    <x v="5"/>
    <x v="2"/>
    <x v="3"/>
    <x v="0"/>
    <n v="9"/>
    <x v="1"/>
    <s v="Child"/>
    <x v="3"/>
    <n v="2369"/>
    <x v="3"/>
    <x v="1"/>
    <x v="0"/>
    <x v="10"/>
    <x v="1"/>
  </r>
  <r>
    <x v="363"/>
    <x v="4"/>
    <x v="2"/>
    <x v="6"/>
    <x v="0"/>
    <n v="47"/>
    <x v="3"/>
    <s v="Middle Age"/>
    <x v="4"/>
    <n v="3061"/>
    <x v="1"/>
    <x v="7"/>
    <x v="3"/>
    <x v="16"/>
    <x v="3"/>
  </r>
  <r>
    <x v="364"/>
    <x v="0"/>
    <x v="1"/>
    <x v="1"/>
    <x v="0"/>
    <n v="59"/>
    <x v="4"/>
    <s v="Middle Age"/>
    <x v="4"/>
    <n v="419"/>
    <x v="3"/>
    <x v="3"/>
    <x v="2"/>
    <x v="35"/>
    <x v="1"/>
  </r>
  <r>
    <x v="365"/>
    <x v="1"/>
    <x v="1"/>
    <x v="4"/>
    <x v="0"/>
    <n v="49"/>
    <x v="3"/>
    <s v="Middle Age"/>
    <x v="4"/>
    <n v="1846"/>
    <x v="3"/>
    <x v="6"/>
    <x v="2"/>
    <x v="36"/>
    <x v="0"/>
  </r>
  <r>
    <x v="366"/>
    <x v="5"/>
    <x v="1"/>
    <x v="1"/>
    <x v="1"/>
    <n v="42"/>
    <x v="3"/>
    <s v="Adult"/>
    <x v="0"/>
    <n v="1435"/>
    <x v="3"/>
    <x v="4"/>
    <x v="2"/>
    <x v="49"/>
    <x v="1"/>
  </r>
  <r>
    <x v="367"/>
    <x v="4"/>
    <x v="2"/>
    <x v="7"/>
    <x v="0"/>
    <n v="41"/>
    <x v="3"/>
    <s v="Adult"/>
    <x v="0"/>
    <n v="3387"/>
    <x v="1"/>
    <x v="5"/>
    <x v="0"/>
    <x v="6"/>
    <x v="0"/>
  </r>
  <r>
    <x v="368"/>
    <x v="6"/>
    <x v="3"/>
    <x v="4"/>
    <x v="1"/>
    <n v="51"/>
    <x v="4"/>
    <s v="Middle Age"/>
    <x v="4"/>
    <n v="3490"/>
    <x v="1"/>
    <x v="3"/>
    <x v="2"/>
    <x v="6"/>
    <x v="3"/>
  </r>
  <r>
    <x v="369"/>
    <x v="3"/>
    <x v="3"/>
    <x v="2"/>
    <x v="1"/>
    <n v="60"/>
    <x v="4"/>
    <s v="Middle Age"/>
    <x v="4"/>
    <n v="2217"/>
    <x v="3"/>
    <x v="8"/>
    <x v="3"/>
    <x v="42"/>
    <x v="1"/>
  </r>
  <r>
    <x v="370"/>
    <x v="6"/>
    <x v="0"/>
    <x v="8"/>
    <x v="0"/>
    <n v="18"/>
    <x v="6"/>
    <s v="Teenager"/>
    <x v="6"/>
    <n v="15376"/>
    <x v="2"/>
    <x v="5"/>
    <x v="0"/>
    <x v="22"/>
    <x v="1"/>
  </r>
  <r>
    <x v="371"/>
    <x v="5"/>
    <x v="3"/>
    <x v="8"/>
    <x v="0"/>
    <n v="10"/>
    <x v="1"/>
    <s v="Child"/>
    <x v="3"/>
    <n v="4178"/>
    <x v="1"/>
    <x v="7"/>
    <x v="3"/>
    <x v="43"/>
    <x v="0"/>
  </r>
  <r>
    <x v="372"/>
    <x v="2"/>
    <x v="1"/>
    <x v="2"/>
    <x v="0"/>
    <n v="89"/>
    <x v="2"/>
    <s v="Elderly"/>
    <x v="2"/>
    <n v="1056"/>
    <x v="3"/>
    <x v="4"/>
    <x v="2"/>
    <x v="32"/>
    <x v="1"/>
  </r>
  <r>
    <x v="373"/>
    <x v="6"/>
    <x v="2"/>
    <x v="2"/>
    <x v="0"/>
    <n v="11"/>
    <x v="1"/>
    <s v="Child"/>
    <x v="3"/>
    <n v="1895"/>
    <x v="3"/>
    <x v="7"/>
    <x v="3"/>
    <x v="25"/>
    <x v="3"/>
  </r>
  <r>
    <x v="374"/>
    <x v="0"/>
    <x v="2"/>
    <x v="7"/>
    <x v="0"/>
    <n v="6"/>
    <x v="1"/>
    <s v="Child"/>
    <x v="3"/>
    <n v="5613"/>
    <x v="1"/>
    <x v="1"/>
    <x v="0"/>
    <x v="37"/>
    <x v="0"/>
  </r>
  <r>
    <x v="375"/>
    <x v="5"/>
    <x v="1"/>
    <x v="5"/>
    <x v="1"/>
    <n v="34"/>
    <x v="0"/>
    <s v="Adult"/>
    <x v="0"/>
    <n v="654"/>
    <x v="3"/>
    <x v="4"/>
    <x v="2"/>
    <x v="0"/>
    <x v="3"/>
  </r>
  <r>
    <x v="376"/>
    <x v="2"/>
    <x v="3"/>
    <x v="6"/>
    <x v="1"/>
    <n v="60"/>
    <x v="4"/>
    <s v="Middle Age"/>
    <x v="4"/>
    <n v="4599"/>
    <x v="1"/>
    <x v="6"/>
    <x v="2"/>
    <x v="8"/>
    <x v="0"/>
  </r>
  <r>
    <x v="377"/>
    <x v="1"/>
    <x v="1"/>
    <x v="5"/>
    <x v="1"/>
    <n v="11"/>
    <x v="1"/>
    <s v="Child"/>
    <x v="3"/>
    <n v="437"/>
    <x v="3"/>
    <x v="4"/>
    <x v="2"/>
    <x v="44"/>
    <x v="1"/>
  </r>
  <r>
    <x v="378"/>
    <x v="5"/>
    <x v="2"/>
    <x v="4"/>
    <x v="1"/>
    <n v="27"/>
    <x v="0"/>
    <s v="Youth"/>
    <x v="5"/>
    <n v="5268"/>
    <x v="1"/>
    <x v="5"/>
    <x v="0"/>
    <x v="8"/>
    <x v="0"/>
  </r>
  <r>
    <x v="379"/>
    <x v="4"/>
    <x v="0"/>
    <x v="6"/>
    <x v="0"/>
    <n v="58"/>
    <x v="4"/>
    <s v="Middle Age"/>
    <x v="4"/>
    <n v="10225"/>
    <x v="0"/>
    <x v="10"/>
    <x v="3"/>
    <x v="35"/>
    <x v="1"/>
  </r>
  <r>
    <x v="380"/>
    <x v="1"/>
    <x v="0"/>
    <x v="0"/>
    <x v="0"/>
    <n v="83"/>
    <x v="2"/>
    <s v="Elderly"/>
    <x v="2"/>
    <n v="6791"/>
    <x v="1"/>
    <x v="9"/>
    <x v="1"/>
    <x v="9"/>
    <x v="2"/>
  </r>
  <r>
    <x v="381"/>
    <x v="0"/>
    <x v="3"/>
    <x v="2"/>
    <x v="1"/>
    <n v="21"/>
    <x v="0"/>
    <s v="Youth"/>
    <x v="5"/>
    <n v="3211"/>
    <x v="1"/>
    <x v="7"/>
    <x v="3"/>
    <x v="13"/>
    <x v="0"/>
  </r>
  <r>
    <x v="382"/>
    <x v="4"/>
    <x v="3"/>
    <x v="8"/>
    <x v="0"/>
    <n v="24"/>
    <x v="0"/>
    <s v="Youth"/>
    <x v="5"/>
    <n v="4040"/>
    <x v="1"/>
    <x v="8"/>
    <x v="3"/>
    <x v="38"/>
    <x v="1"/>
  </r>
  <r>
    <x v="383"/>
    <x v="0"/>
    <x v="3"/>
    <x v="6"/>
    <x v="0"/>
    <n v="50"/>
    <x v="4"/>
    <s v="Middle Age"/>
    <x v="4"/>
    <n v="536"/>
    <x v="3"/>
    <x v="6"/>
    <x v="2"/>
    <x v="40"/>
    <x v="1"/>
  </r>
  <r>
    <x v="384"/>
    <x v="5"/>
    <x v="0"/>
    <x v="1"/>
    <x v="1"/>
    <n v="69"/>
    <x v="5"/>
    <s v="Elderly"/>
    <x v="2"/>
    <n v="8063"/>
    <x v="0"/>
    <x v="11"/>
    <x v="4"/>
    <x v="34"/>
    <x v="1"/>
  </r>
  <r>
    <x v="385"/>
    <x v="3"/>
    <x v="1"/>
    <x v="5"/>
    <x v="1"/>
    <n v="63"/>
    <x v="4"/>
    <s v="Elderly"/>
    <x v="2"/>
    <n v="1280"/>
    <x v="3"/>
    <x v="4"/>
    <x v="2"/>
    <x v="34"/>
    <x v="0"/>
  </r>
  <r>
    <x v="386"/>
    <x v="2"/>
    <x v="1"/>
    <x v="1"/>
    <x v="1"/>
    <n v="15"/>
    <x v="6"/>
    <s v="Teenager"/>
    <x v="6"/>
    <n v="912"/>
    <x v="3"/>
    <x v="6"/>
    <x v="2"/>
    <x v="23"/>
    <x v="0"/>
  </r>
  <r>
    <x v="387"/>
    <x v="2"/>
    <x v="3"/>
    <x v="3"/>
    <x v="0"/>
    <n v="76"/>
    <x v="5"/>
    <s v="Elderly"/>
    <x v="2"/>
    <n v="1194"/>
    <x v="3"/>
    <x v="6"/>
    <x v="2"/>
    <x v="34"/>
    <x v="0"/>
  </r>
  <r>
    <x v="388"/>
    <x v="1"/>
    <x v="3"/>
    <x v="3"/>
    <x v="1"/>
    <n v="48"/>
    <x v="3"/>
    <s v="Middle Age"/>
    <x v="4"/>
    <n v="1658"/>
    <x v="3"/>
    <x v="7"/>
    <x v="3"/>
    <x v="4"/>
    <x v="0"/>
  </r>
  <r>
    <x v="389"/>
    <x v="4"/>
    <x v="3"/>
    <x v="1"/>
    <x v="1"/>
    <n v="24"/>
    <x v="0"/>
    <s v="Youth"/>
    <x v="5"/>
    <n v="4486"/>
    <x v="1"/>
    <x v="7"/>
    <x v="3"/>
    <x v="3"/>
    <x v="3"/>
  </r>
  <r>
    <x v="390"/>
    <x v="0"/>
    <x v="3"/>
    <x v="2"/>
    <x v="1"/>
    <n v="37"/>
    <x v="3"/>
    <s v="Adult"/>
    <x v="0"/>
    <n v="1649"/>
    <x v="3"/>
    <x v="6"/>
    <x v="2"/>
    <x v="34"/>
    <x v="0"/>
  </r>
  <r>
    <x v="391"/>
    <x v="6"/>
    <x v="1"/>
    <x v="1"/>
    <x v="1"/>
    <n v="46"/>
    <x v="3"/>
    <s v="Middle Age"/>
    <x v="4"/>
    <n v="219"/>
    <x v="3"/>
    <x v="6"/>
    <x v="2"/>
    <x v="29"/>
    <x v="1"/>
  </r>
  <r>
    <x v="392"/>
    <x v="3"/>
    <x v="1"/>
    <x v="2"/>
    <x v="0"/>
    <n v="64"/>
    <x v="4"/>
    <s v="Elderly"/>
    <x v="2"/>
    <n v="1037"/>
    <x v="3"/>
    <x v="4"/>
    <x v="2"/>
    <x v="12"/>
    <x v="0"/>
  </r>
  <r>
    <x v="393"/>
    <x v="4"/>
    <x v="1"/>
    <x v="6"/>
    <x v="1"/>
    <n v="73"/>
    <x v="5"/>
    <s v="Elderly"/>
    <x v="2"/>
    <n v="263"/>
    <x v="3"/>
    <x v="3"/>
    <x v="2"/>
    <x v="42"/>
    <x v="1"/>
  </r>
  <r>
    <x v="394"/>
    <x v="1"/>
    <x v="2"/>
    <x v="9"/>
    <x v="0"/>
    <n v="22"/>
    <x v="0"/>
    <s v="Youth"/>
    <x v="5"/>
    <n v="4746"/>
    <x v="1"/>
    <x v="5"/>
    <x v="0"/>
    <x v="14"/>
    <x v="0"/>
  </r>
  <r>
    <x v="395"/>
    <x v="2"/>
    <x v="0"/>
    <x v="1"/>
    <x v="1"/>
    <n v="70"/>
    <x v="5"/>
    <s v="Elderly"/>
    <x v="2"/>
    <n v="18488"/>
    <x v="2"/>
    <x v="11"/>
    <x v="4"/>
    <x v="5"/>
    <x v="1"/>
  </r>
  <r>
    <x v="396"/>
    <x v="6"/>
    <x v="0"/>
    <x v="6"/>
    <x v="0"/>
    <n v="55"/>
    <x v="4"/>
    <s v="Middle Age"/>
    <x v="4"/>
    <n v="6677"/>
    <x v="1"/>
    <x v="9"/>
    <x v="1"/>
    <x v="37"/>
    <x v="2"/>
  </r>
  <r>
    <x v="397"/>
    <x v="3"/>
    <x v="2"/>
    <x v="0"/>
    <x v="1"/>
    <n v="45"/>
    <x v="3"/>
    <s v="Middle Age"/>
    <x v="4"/>
    <n v="1712"/>
    <x v="3"/>
    <x v="5"/>
    <x v="0"/>
    <x v="45"/>
    <x v="1"/>
  </r>
  <r>
    <x v="398"/>
    <x v="6"/>
    <x v="3"/>
    <x v="9"/>
    <x v="0"/>
    <n v="76"/>
    <x v="5"/>
    <s v="Elderly"/>
    <x v="2"/>
    <n v="3372"/>
    <x v="1"/>
    <x v="7"/>
    <x v="3"/>
    <x v="17"/>
    <x v="3"/>
  </r>
  <r>
    <x v="399"/>
    <x v="4"/>
    <x v="3"/>
    <x v="1"/>
    <x v="1"/>
    <n v="27"/>
    <x v="0"/>
    <s v="Youth"/>
    <x v="5"/>
    <n v="2195"/>
    <x v="3"/>
    <x v="3"/>
    <x v="2"/>
    <x v="6"/>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x v="0"/>
    <n v="32"/>
    <x v="0"/>
    <s v="Adult"/>
    <x v="0"/>
    <n v="8657"/>
    <x v="0"/>
    <x v="0"/>
    <x v="0"/>
    <x v="0"/>
    <x v="0"/>
  </r>
  <r>
    <x v="1"/>
    <x v="1"/>
    <x v="0"/>
    <x v="1"/>
    <x v="1"/>
    <n v="4"/>
    <x v="1"/>
    <s v="Infant"/>
    <x v="1"/>
    <n v="6535"/>
    <x v="1"/>
    <x v="1"/>
    <x v="0"/>
    <x v="1"/>
    <x v="1"/>
  </r>
  <r>
    <x v="2"/>
    <x v="2"/>
    <x v="0"/>
    <x v="2"/>
    <x v="1"/>
    <n v="84"/>
    <x v="2"/>
    <s v="Elderly"/>
    <x v="2"/>
    <n v="16490"/>
    <x v="2"/>
    <x v="2"/>
    <x v="1"/>
    <x v="2"/>
    <x v="2"/>
  </r>
  <r>
    <x v="3"/>
    <x v="3"/>
    <x v="1"/>
    <x v="1"/>
    <x v="1"/>
    <n v="1"/>
    <x v="1"/>
    <s v="Infant"/>
    <x v="1"/>
    <n v="1754"/>
    <x v="3"/>
    <x v="3"/>
    <x v="2"/>
    <x v="3"/>
    <x v="3"/>
  </r>
  <r>
    <x v="4"/>
    <x v="4"/>
    <x v="2"/>
    <x v="3"/>
    <x v="1"/>
    <n v="44"/>
    <x v="3"/>
    <s v="Adult"/>
    <x v="0"/>
    <n v="1837"/>
    <x v="3"/>
    <x v="4"/>
    <x v="2"/>
    <x v="4"/>
    <x v="0"/>
  </r>
  <r>
    <x v="5"/>
    <x v="1"/>
    <x v="2"/>
    <x v="4"/>
    <x v="0"/>
    <n v="6"/>
    <x v="1"/>
    <s v="Child"/>
    <x v="3"/>
    <n v="6977"/>
    <x v="1"/>
    <x v="5"/>
    <x v="0"/>
    <x v="5"/>
    <x v="0"/>
  </r>
  <r>
    <x v="6"/>
    <x v="1"/>
    <x v="1"/>
    <x v="5"/>
    <x v="0"/>
    <n v="81"/>
    <x v="2"/>
    <s v="Elderly"/>
    <x v="2"/>
    <n v="1466"/>
    <x v="3"/>
    <x v="6"/>
    <x v="2"/>
    <x v="6"/>
    <x v="3"/>
  </r>
  <r>
    <x v="7"/>
    <x v="3"/>
    <x v="0"/>
    <x v="0"/>
    <x v="0"/>
    <n v="38"/>
    <x v="3"/>
    <s v="Adult"/>
    <x v="0"/>
    <n v="6307"/>
    <x v="1"/>
    <x v="1"/>
    <x v="0"/>
    <x v="7"/>
    <x v="1"/>
  </r>
  <r>
    <x v="8"/>
    <x v="4"/>
    <x v="2"/>
    <x v="6"/>
    <x v="0"/>
    <n v="47"/>
    <x v="3"/>
    <s v="Middle Age"/>
    <x v="4"/>
    <n v="2332"/>
    <x v="3"/>
    <x v="0"/>
    <x v="0"/>
    <x v="8"/>
    <x v="0"/>
  </r>
  <r>
    <x v="9"/>
    <x v="3"/>
    <x v="2"/>
    <x v="5"/>
    <x v="0"/>
    <n v="22"/>
    <x v="0"/>
    <s v="Youth"/>
    <x v="5"/>
    <n v="5375"/>
    <x v="1"/>
    <x v="7"/>
    <x v="3"/>
    <x v="9"/>
    <x v="1"/>
  </r>
  <r>
    <x v="10"/>
    <x v="4"/>
    <x v="1"/>
    <x v="3"/>
    <x v="2"/>
    <n v="82"/>
    <x v="2"/>
    <s v="Elderly"/>
    <x v="2"/>
    <n v="1609"/>
    <x v="3"/>
    <x v="4"/>
    <x v="2"/>
    <x v="1"/>
    <x v="1"/>
  </r>
  <r>
    <x v="11"/>
    <x v="0"/>
    <x v="2"/>
    <x v="0"/>
    <x v="1"/>
    <n v="5"/>
    <x v="1"/>
    <s v="Infant"/>
    <x v="1"/>
    <n v="3584"/>
    <x v="1"/>
    <x v="1"/>
    <x v="0"/>
    <x v="10"/>
    <x v="1"/>
  </r>
  <r>
    <x v="12"/>
    <x v="1"/>
    <x v="3"/>
    <x v="1"/>
    <x v="0"/>
    <n v="41"/>
    <x v="3"/>
    <s v="Adult"/>
    <x v="0"/>
    <n v="2241"/>
    <x v="3"/>
    <x v="8"/>
    <x v="3"/>
    <x v="11"/>
    <x v="0"/>
  </r>
  <r>
    <x v="13"/>
    <x v="0"/>
    <x v="1"/>
    <x v="7"/>
    <x v="1"/>
    <n v="32"/>
    <x v="0"/>
    <s v="Adult"/>
    <x v="0"/>
    <n v="1725"/>
    <x v="3"/>
    <x v="4"/>
    <x v="2"/>
    <x v="5"/>
    <x v="0"/>
  </r>
  <r>
    <x v="14"/>
    <x v="5"/>
    <x v="1"/>
    <x v="1"/>
    <x v="1"/>
    <n v="29"/>
    <x v="0"/>
    <s v="Youth"/>
    <x v="5"/>
    <n v="483"/>
    <x v="3"/>
    <x v="4"/>
    <x v="2"/>
    <x v="12"/>
    <x v="0"/>
  </r>
  <r>
    <x v="15"/>
    <x v="1"/>
    <x v="0"/>
    <x v="5"/>
    <x v="1"/>
    <n v="21"/>
    <x v="0"/>
    <s v="Youth"/>
    <x v="5"/>
    <n v="17977"/>
    <x v="2"/>
    <x v="9"/>
    <x v="1"/>
    <x v="13"/>
    <x v="2"/>
  </r>
  <r>
    <x v="16"/>
    <x v="2"/>
    <x v="0"/>
    <x v="8"/>
    <x v="1"/>
    <n v="60"/>
    <x v="4"/>
    <s v="Middle Age"/>
    <x v="4"/>
    <n v="13669"/>
    <x v="4"/>
    <x v="5"/>
    <x v="0"/>
    <x v="14"/>
    <x v="0"/>
  </r>
  <r>
    <x v="17"/>
    <x v="6"/>
    <x v="0"/>
    <x v="5"/>
    <x v="0"/>
    <n v="69"/>
    <x v="5"/>
    <s v="Elderly"/>
    <x v="2"/>
    <n v="17302"/>
    <x v="2"/>
    <x v="5"/>
    <x v="0"/>
    <x v="15"/>
    <x v="0"/>
  </r>
  <r>
    <x v="18"/>
    <x v="0"/>
    <x v="2"/>
    <x v="5"/>
    <x v="1"/>
    <n v="21"/>
    <x v="0"/>
    <s v="Youth"/>
    <x v="5"/>
    <n v="4716"/>
    <x v="1"/>
    <x v="6"/>
    <x v="2"/>
    <x v="16"/>
    <x v="3"/>
  </r>
  <r>
    <x v="19"/>
    <x v="0"/>
    <x v="2"/>
    <x v="2"/>
    <x v="0"/>
    <n v="65"/>
    <x v="5"/>
    <s v="Elderly"/>
    <x v="2"/>
    <n v="1871"/>
    <x v="3"/>
    <x v="10"/>
    <x v="3"/>
    <x v="17"/>
    <x v="0"/>
  </r>
  <r>
    <x v="20"/>
    <x v="2"/>
    <x v="3"/>
    <x v="7"/>
    <x v="1"/>
    <n v="21"/>
    <x v="0"/>
    <s v="Youth"/>
    <x v="5"/>
    <n v="4918"/>
    <x v="1"/>
    <x v="7"/>
    <x v="3"/>
    <x v="18"/>
    <x v="1"/>
  </r>
  <r>
    <x v="21"/>
    <x v="2"/>
    <x v="2"/>
    <x v="6"/>
    <x v="1"/>
    <n v="47"/>
    <x v="3"/>
    <s v="Middle Age"/>
    <x v="4"/>
    <n v="3519"/>
    <x v="1"/>
    <x v="7"/>
    <x v="3"/>
    <x v="19"/>
    <x v="1"/>
  </r>
  <r>
    <x v="22"/>
    <x v="3"/>
    <x v="0"/>
    <x v="5"/>
    <x v="0"/>
    <n v="9"/>
    <x v="1"/>
    <s v="Child"/>
    <x v="3"/>
    <n v="17461"/>
    <x v="2"/>
    <x v="2"/>
    <x v="1"/>
    <x v="15"/>
    <x v="2"/>
  </r>
  <r>
    <x v="23"/>
    <x v="3"/>
    <x v="3"/>
    <x v="6"/>
    <x v="0"/>
    <n v="22"/>
    <x v="0"/>
    <s v="Youth"/>
    <x v="5"/>
    <n v="2671"/>
    <x v="3"/>
    <x v="7"/>
    <x v="3"/>
    <x v="20"/>
    <x v="3"/>
  </r>
  <r>
    <x v="24"/>
    <x v="4"/>
    <x v="3"/>
    <x v="2"/>
    <x v="0"/>
    <n v="89"/>
    <x v="2"/>
    <s v="Elderly"/>
    <x v="2"/>
    <n v="2147"/>
    <x v="3"/>
    <x v="4"/>
    <x v="2"/>
    <x v="11"/>
    <x v="0"/>
  </r>
  <r>
    <x v="25"/>
    <x v="0"/>
    <x v="2"/>
    <x v="6"/>
    <x v="0"/>
    <n v="58"/>
    <x v="4"/>
    <s v="Middle Age"/>
    <x v="4"/>
    <n v="1991"/>
    <x v="3"/>
    <x v="7"/>
    <x v="3"/>
    <x v="1"/>
    <x v="1"/>
  </r>
  <r>
    <x v="26"/>
    <x v="1"/>
    <x v="2"/>
    <x v="0"/>
    <x v="0"/>
    <n v="30"/>
    <x v="0"/>
    <s v="Adult"/>
    <x v="0"/>
    <n v="5820"/>
    <x v="1"/>
    <x v="7"/>
    <x v="3"/>
    <x v="18"/>
    <x v="1"/>
  </r>
  <r>
    <x v="27"/>
    <x v="1"/>
    <x v="0"/>
    <x v="9"/>
    <x v="1"/>
    <n v="5"/>
    <x v="1"/>
    <s v="Infant"/>
    <x v="1"/>
    <n v="19084"/>
    <x v="2"/>
    <x v="11"/>
    <x v="4"/>
    <x v="21"/>
    <x v="1"/>
  </r>
  <r>
    <x v="28"/>
    <x v="2"/>
    <x v="3"/>
    <x v="3"/>
    <x v="0"/>
    <n v="28"/>
    <x v="0"/>
    <s v="Youth"/>
    <x v="5"/>
    <n v="4917"/>
    <x v="1"/>
    <x v="6"/>
    <x v="2"/>
    <x v="16"/>
    <x v="3"/>
  </r>
  <r>
    <x v="29"/>
    <x v="2"/>
    <x v="1"/>
    <x v="9"/>
    <x v="0"/>
    <n v="53"/>
    <x v="4"/>
    <s v="Middle Age"/>
    <x v="4"/>
    <n v="589"/>
    <x v="3"/>
    <x v="3"/>
    <x v="2"/>
    <x v="7"/>
    <x v="1"/>
  </r>
  <r>
    <x v="30"/>
    <x v="0"/>
    <x v="1"/>
    <x v="4"/>
    <x v="1"/>
    <n v="60"/>
    <x v="4"/>
    <s v="Middle Age"/>
    <x v="4"/>
    <n v="1969"/>
    <x v="3"/>
    <x v="4"/>
    <x v="2"/>
    <x v="19"/>
    <x v="1"/>
  </r>
  <r>
    <x v="31"/>
    <x v="0"/>
    <x v="0"/>
    <x v="0"/>
    <x v="1"/>
    <n v="44"/>
    <x v="3"/>
    <s v="Adult"/>
    <x v="0"/>
    <n v="18116"/>
    <x v="2"/>
    <x v="10"/>
    <x v="3"/>
    <x v="22"/>
    <x v="1"/>
  </r>
  <r>
    <x v="32"/>
    <x v="3"/>
    <x v="3"/>
    <x v="2"/>
    <x v="1"/>
    <n v="55"/>
    <x v="4"/>
    <s v="Middle Age"/>
    <x v="4"/>
    <n v="2003"/>
    <x v="3"/>
    <x v="4"/>
    <x v="2"/>
    <x v="23"/>
    <x v="0"/>
  </r>
  <r>
    <x v="33"/>
    <x v="3"/>
    <x v="0"/>
    <x v="6"/>
    <x v="0"/>
    <n v="71"/>
    <x v="5"/>
    <s v="Elderly"/>
    <x v="2"/>
    <n v="6604"/>
    <x v="1"/>
    <x v="7"/>
    <x v="3"/>
    <x v="24"/>
    <x v="3"/>
  </r>
  <r>
    <x v="34"/>
    <x v="2"/>
    <x v="0"/>
    <x v="5"/>
    <x v="0"/>
    <n v="31"/>
    <x v="0"/>
    <s v="Adult"/>
    <x v="0"/>
    <n v="7724"/>
    <x v="0"/>
    <x v="12"/>
    <x v="4"/>
    <x v="12"/>
    <x v="1"/>
  </r>
  <r>
    <x v="35"/>
    <x v="4"/>
    <x v="3"/>
    <x v="8"/>
    <x v="0"/>
    <n v="22"/>
    <x v="0"/>
    <s v="Youth"/>
    <x v="5"/>
    <n v="3604"/>
    <x v="1"/>
    <x v="3"/>
    <x v="2"/>
    <x v="4"/>
    <x v="0"/>
  </r>
  <r>
    <x v="36"/>
    <x v="5"/>
    <x v="1"/>
    <x v="3"/>
    <x v="1"/>
    <n v="72"/>
    <x v="5"/>
    <s v="Elderly"/>
    <x v="2"/>
    <n v="1555"/>
    <x v="3"/>
    <x v="4"/>
    <x v="2"/>
    <x v="12"/>
    <x v="0"/>
  </r>
  <r>
    <x v="37"/>
    <x v="3"/>
    <x v="3"/>
    <x v="3"/>
    <x v="1"/>
    <n v="8"/>
    <x v="1"/>
    <s v="Child"/>
    <x v="3"/>
    <n v="4941"/>
    <x v="1"/>
    <x v="3"/>
    <x v="2"/>
    <x v="0"/>
    <x v="3"/>
  </r>
  <r>
    <x v="38"/>
    <x v="5"/>
    <x v="0"/>
    <x v="0"/>
    <x v="0"/>
    <n v="65"/>
    <x v="5"/>
    <s v="Elderly"/>
    <x v="2"/>
    <n v="18970"/>
    <x v="2"/>
    <x v="2"/>
    <x v="1"/>
    <x v="9"/>
    <x v="2"/>
  </r>
  <r>
    <x v="39"/>
    <x v="1"/>
    <x v="0"/>
    <x v="7"/>
    <x v="1"/>
    <n v="9"/>
    <x v="1"/>
    <s v="Child"/>
    <x v="3"/>
    <n v="16062"/>
    <x v="2"/>
    <x v="1"/>
    <x v="0"/>
    <x v="11"/>
    <x v="0"/>
  </r>
  <r>
    <x v="40"/>
    <x v="1"/>
    <x v="3"/>
    <x v="1"/>
    <x v="0"/>
    <n v="80"/>
    <x v="2"/>
    <s v="Elderly"/>
    <x v="2"/>
    <n v="1171"/>
    <x v="3"/>
    <x v="8"/>
    <x v="3"/>
    <x v="25"/>
    <x v="3"/>
  </r>
  <r>
    <x v="41"/>
    <x v="2"/>
    <x v="2"/>
    <x v="3"/>
    <x v="1"/>
    <n v="41"/>
    <x v="3"/>
    <s v="Adult"/>
    <x v="0"/>
    <n v="2955"/>
    <x v="3"/>
    <x v="10"/>
    <x v="3"/>
    <x v="11"/>
    <x v="0"/>
  </r>
  <r>
    <x v="42"/>
    <x v="3"/>
    <x v="2"/>
    <x v="6"/>
    <x v="1"/>
    <n v="10"/>
    <x v="1"/>
    <s v="Child"/>
    <x v="3"/>
    <n v="1076"/>
    <x v="3"/>
    <x v="5"/>
    <x v="0"/>
    <x v="26"/>
    <x v="0"/>
  </r>
  <r>
    <x v="43"/>
    <x v="2"/>
    <x v="0"/>
    <x v="5"/>
    <x v="0"/>
    <n v="65"/>
    <x v="5"/>
    <s v="Elderly"/>
    <x v="2"/>
    <n v="9345"/>
    <x v="0"/>
    <x v="0"/>
    <x v="0"/>
    <x v="8"/>
    <x v="0"/>
  </r>
  <r>
    <x v="44"/>
    <x v="1"/>
    <x v="3"/>
    <x v="4"/>
    <x v="1"/>
    <n v="57"/>
    <x v="4"/>
    <s v="Middle Age"/>
    <x v="4"/>
    <n v="4950"/>
    <x v="1"/>
    <x v="4"/>
    <x v="2"/>
    <x v="26"/>
    <x v="3"/>
  </r>
  <r>
    <x v="45"/>
    <x v="6"/>
    <x v="0"/>
    <x v="2"/>
    <x v="1"/>
    <n v="85"/>
    <x v="2"/>
    <s v="Elderly"/>
    <x v="2"/>
    <n v="6697"/>
    <x v="1"/>
    <x v="0"/>
    <x v="0"/>
    <x v="27"/>
    <x v="1"/>
  </r>
  <r>
    <x v="46"/>
    <x v="1"/>
    <x v="0"/>
    <x v="2"/>
    <x v="1"/>
    <n v="37"/>
    <x v="3"/>
    <s v="Adult"/>
    <x v="0"/>
    <n v="14909"/>
    <x v="4"/>
    <x v="1"/>
    <x v="0"/>
    <x v="28"/>
    <x v="0"/>
  </r>
  <r>
    <x v="47"/>
    <x v="5"/>
    <x v="3"/>
    <x v="3"/>
    <x v="0"/>
    <n v="33"/>
    <x v="0"/>
    <s v="Adult"/>
    <x v="0"/>
    <n v="916"/>
    <x v="3"/>
    <x v="3"/>
    <x v="2"/>
    <x v="17"/>
    <x v="3"/>
  </r>
  <r>
    <x v="48"/>
    <x v="4"/>
    <x v="2"/>
    <x v="0"/>
    <x v="1"/>
    <n v="17"/>
    <x v="6"/>
    <s v="Teenager"/>
    <x v="6"/>
    <n v="6219"/>
    <x v="1"/>
    <x v="10"/>
    <x v="3"/>
    <x v="9"/>
    <x v="1"/>
  </r>
  <r>
    <x v="49"/>
    <x v="0"/>
    <x v="1"/>
    <x v="2"/>
    <x v="0"/>
    <n v="72"/>
    <x v="5"/>
    <s v="Elderly"/>
    <x v="2"/>
    <n v="219"/>
    <x v="3"/>
    <x v="3"/>
    <x v="2"/>
    <x v="21"/>
    <x v="1"/>
  </r>
  <r>
    <x v="50"/>
    <x v="0"/>
    <x v="3"/>
    <x v="2"/>
    <x v="1"/>
    <n v="48"/>
    <x v="3"/>
    <s v="Middle Age"/>
    <x v="4"/>
    <n v="1713"/>
    <x v="3"/>
    <x v="8"/>
    <x v="3"/>
    <x v="29"/>
    <x v="1"/>
  </r>
  <r>
    <x v="51"/>
    <x v="1"/>
    <x v="2"/>
    <x v="4"/>
    <x v="0"/>
    <n v="6"/>
    <x v="1"/>
    <s v="Child"/>
    <x v="3"/>
    <n v="3931"/>
    <x v="1"/>
    <x v="7"/>
    <x v="3"/>
    <x v="30"/>
    <x v="3"/>
  </r>
  <r>
    <x v="52"/>
    <x v="3"/>
    <x v="0"/>
    <x v="4"/>
    <x v="0"/>
    <n v="53"/>
    <x v="4"/>
    <s v="Middle Age"/>
    <x v="4"/>
    <n v="15168"/>
    <x v="2"/>
    <x v="0"/>
    <x v="0"/>
    <x v="22"/>
    <x v="1"/>
  </r>
  <r>
    <x v="53"/>
    <x v="6"/>
    <x v="3"/>
    <x v="7"/>
    <x v="0"/>
    <n v="4"/>
    <x v="1"/>
    <s v="Infant"/>
    <x v="1"/>
    <n v="1969"/>
    <x v="3"/>
    <x v="4"/>
    <x v="2"/>
    <x v="31"/>
    <x v="3"/>
  </r>
  <r>
    <x v="54"/>
    <x v="4"/>
    <x v="3"/>
    <x v="3"/>
    <x v="1"/>
    <n v="90"/>
    <x v="2"/>
    <s v="Elderly"/>
    <x v="2"/>
    <n v="1385"/>
    <x v="3"/>
    <x v="8"/>
    <x v="3"/>
    <x v="32"/>
    <x v="1"/>
  </r>
  <r>
    <x v="55"/>
    <x v="6"/>
    <x v="1"/>
    <x v="9"/>
    <x v="1"/>
    <n v="59"/>
    <x v="4"/>
    <s v="Middle Age"/>
    <x v="4"/>
    <n v="916"/>
    <x v="3"/>
    <x v="6"/>
    <x v="2"/>
    <x v="31"/>
    <x v="3"/>
  </r>
  <r>
    <x v="56"/>
    <x v="6"/>
    <x v="3"/>
    <x v="9"/>
    <x v="1"/>
    <n v="25"/>
    <x v="0"/>
    <s v="Youth"/>
    <x v="5"/>
    <n v="3764"/>
    <x v="1"/>
    <x v="4"/>
    <x v="2"/>
    <x v="10"/>
    <x v="1"/>
  </r>
  <r>
    <x v="57"/>
    <x v="6"/>
    <x v="0"/>
    <x v="3"/>
    <x v="1"/>
    <n v="66"/>
    <x v="5"/>
    <s v="Elderly"/>
    <x v="2"/>
    <n v="11548"/>
    <x v="4"/>
    <x v="9"/>
    <x v="1"/>
    <x v="5"/>
    <x v="2"/>
  </r>
  <r>
    <x v="58"/>
    <x v="5"/>
    <x v="0"/>
    <x v="5"/>
    <x v="0"/>
    <n v="34"/>
    <x v="0"/>
    <s v="Adult"/>
    <x v="0"/>
    <n v="7925"/>
    <x v="0"/>
    <x v="13"/>
    <x v="1"/>
    <x v="27"/>
    <x v="2"/>
  </r>
  <r>
    <x v="59"/>
    <x v="1"/>
    <x v="0"/>
    <x v="1"/>
    <x v="1"/>
    <n v="41"/>
    <x v="3"/>
    <s v="Adult"/>
    <x v="0"/>
    <n v="12149"/>
    <x v="4"/>
    <x v="13"/>
    <x v="1"/>
    <x v="33"/>
    <x v="2"/>
  </r>
  <r>
    <x v="60"/>
    <x v="1"/>
    <x v="1"/>
    <x v="1"/>
    <x v="1"/>
    <n v="6"/>
    <x v="1"/>
    <s v="Child"/>
    <x v="3"/>
    <n v="1651"/>
    <x v="3"/>
    <x v="6"/>
    <x v="2"/>
    <x v="18"/>
    <x v="1"/>
  </r>
  <r>
    <x v="61"/>
    <x v="2"/>
    <x v="3"/>
    <x v="4"/>
    <x v="1"/>
    <n v="86"/>
    <x v="2"/>
    <s v="Elderly"/>
    <x v="2"/>
    <n v="3204"/>
    <x v="1"/>
    <x v="7"/>
    <x v="3"/>
    <x v="34"/>
    <x v="0"/>
  </r>
  <r>
    <x v="62"/>
    <x v="0"/>
    <x v="0"/>
    <x v="3"/>
    <x v="0"/>
    <n v="86"/>
    <x v="2"/>
    <s v="Elderly"/>
    <x v="2"/>
    <n v="11691"/>
    <x v="4"/>
    <x v="11"/>
    <x v="4"/>
    <x v="11"/>
    <x v="1"/>
  </r>
  <r>
    <x v="63"/>
    <x v="0"/>
    <x v="2"/>
    <x v="2"/>
    <x v="1"/>
    <n v="54"/>
    <x v="4"/>
    <s v="Middle Age"/>
    <x v="4"/>
    <n v="6447"/>
    <x v="1"/>
    <x v="1"/>
    <x v="0"/>
    <x v="30"/>
    <x v="0"/>
  </r>
  <r>
    <x v="64"/>
    <x v="0"/>
    <x v="3"/>
    <x v="1"/>
    <x v="0"/>
    <n v="52"/>
    <x v="4"/>
    <s v="Middle Age"/>
    <x v="4"/>
    <n v="4988"/>
    <x v="1"/>
    <x v="3"/>
    <x v="2"/>
    <x v="35"/>
    <x v="1"/>
  </r>
  <r>
    <x v="65"/>
    <x v="5"/>
    <x v="3"/>
    <x v="8"/>
    <x v="0"/>
    <n v="78"/>
    <x v="5"/>
    <s v="Elderly"/>
    <x v="2"/>
    <n v="3139"/>
    <x v="1"/>
    <x v="8"/>
    <x v="3"/>
    <x v="36"/>
    <x v="0"/>
  </r>
  <r>
    <x v="66"/>
    <x v="4"/>
    <x v="3"/>
    <x v="2"/>
    <x v="1"/>
    <n v="22"/>
    <x v="0"/>
    <s v="Youth"/>
    <x v="5"/>
    <n v="1194"/>
    <x v="3"/>
    <x v="4"/>
    <x v="2"/>
    <x v="33"/>
    <x v="0"/>
  </r>
  <r>
    <x v="67"/>
    <x v="0"/>
    <x v="2"/>
    <x v="5"/>
    <x v="0"/>
    <n v="31"/>
    <x v="0"/>
    <s v="Adult"/>
    <x v="0"/>
    <n v="6511"/>
    <x v="1"/>
    <x v="10"/>
    <x v="3"/>
    <x v="1"/>
    <x v="1"/>
  </r>
  <r>
    <x v="68"/>
    <x v="6"/>
    <x v="3"/>
    <x v="7"/>
    <x v="1"/>
    <n v="32"/>
    <x v="0"/>
    <s v="Adult"/>
    <x v="0"/>
    <n v="4392"/>
    <x v="1"/>
    <x v="7"/>
    <x v="3"/>
    <x v="15"/>
    <x v="3"/>
  </r>
  <r>
    <x v="69"/>
    <x v="1"/>
    <x v="1"/>
    <x v="8"/>
    <x v="0"/>
    <n v="74"/>
    <x v="5"/>
    <s v="Elderly"/>
    <x v="2"/>
    <n v="598"/>
    <x v="3"/>
    <x v="4"/>
    <x v="2"/>
    <x v="3"/>
    <x v="3"/>
  </r>
  <r>
    <x v="70"/>
    <x v="4"/>
    <x v="1"/>
    <x v="8"/>
    <x v="1"/>
    <n v="84"/>
    <x v="2"/>
    <s v="Elderly"/>
    <x v="2"/>
    <n v="1608"/>
    <x v="3"/>
    <x v="3"/>
    <x v="2"/>
    <x v="37"/>
    <x v="3"/>
  </r>
  <r>
    <x v="71"/>
    <x v="6"/>
    <x v="0"/>
    <x v="8"/>
    <x v="1"/>
    <n v="90"/>
    <x v="2"/>
    <s v="Elderly"/>
    <x v="2"/>
    <n v="13486"/>
    <x v="4"/>
    <x v="14"/>
    <x v="4"/>
    <x v="19"/>
    <x v="1"/>
  </r>
  <r>
    <x v="72"/>
    <x v="2"/>
    <x v="3"/>
    <x v="5"/>
    <x v="1"/>
    <n v="60"/>
    <x v="4"/>
    <s v="Middle Age"/>
    <x v="4"/>
    <n v="4851"/>
    <x v="1"/>
    <x v="7"/>
    <x v="3"/>
    <x v="20"/>
    <x v="3"/>
  </r>
  <r>
    <x v="73"/>
    <x v="5"/>
    <x v="1"/>
    <x v="1"/>
    <x v="0"/>
    <n v="65"/>
    <x v="5"/>
    <s v="Elderly"/>
    <x v="2"/>
    <n v="1073"/>
    <x v="3"/>
    <x v="4"/>
    <x v="2"/>
    <x v="36"/>
    <x v="0"/>
  </r>
  <r>
    <x v="74"/>
    <x v="3"/>
    <x v="1"/>
    <x v="6"/>
    <x v="1"/>
    <n v="32"/>
    <x v="0"/>
    <s v="Adult"/>
    <x v="0"/>
    <n v="1920"/>
    <x v="3"/>
    <x v="4"/>
    <x v="2"/>
    <x v="10"/>
    <x v="1"/>
  </r>
  <r>
    <x v="75"/>
    <x v="6"/>
    <x v="1"/>
    <x v="9"/>
    <x v="1"/>
    <n v="10"/>
    <x v="1"/>
    <s v="Child"/>
    <x v="3"/>
    <n v="1661"/>
    <x v="3"/>
    <x v="6"/>
    <x v="2"/>
    <x v="22"/>
    <x v="1"/>
  </r>
  <r>
    <x v="76"/>
    <x v="5"/>
    <x v="2"/>
    <x v="4"/>
    <x v="0"/>
    <n v="11"/>
    <x v="1"/>
    <s v="Child"/>
    <x v="3"/>
    <n v="2133"/>
    <x v="3"/>
    <x v="8"/>
    <x v="3"/>
    <x v="1"/>
    <x v="1"/>
  </r>
  <r>
    <x v="77"/>
    <x v="4"/>
    <x v="3"/>
    <x v="9"/>
    <x v="1"/>
    <n v="53"/>
    <x v="4"/>
    <s v="Middle Age"/>
    <x v="4"/>
    <n v="3210"/>
    <x v="1"/>
    <x v="7"/>
    <x v="3"/>
    <x v="23"/>
    <x v="0"/>
  </r>
  <r>
    <x v="78"/>
    <x v="4"/>
    <x v="0"/>
    <x v="9"/>
    <x v="0"/>
    <n v="50"/>
    <x v="4"/>
    <s v="Middle Age"/>
    <x v="4"/>
    <n v="19824"/>
    <x v="2"/>
    <x v="13"/>
    <x v="1"/>
    <x v="3"/>
    <x v="2"/>
  </r>
  <r>
    <x v="79"/>
    <x v="1"/>
    <x v="1"/>
    <x v="6"/>
    <x v="1"/>
    <n v="46"/>
    <x v="3"/>
    <s v="Middle Age"/>
    <x v="4"/>
    <n v="811"/>
    <x v="3"/>
    <x v="6"/>
    <x v="2"/>
    <x v="2"/>
    <x v="0"/>
  </r>
  <r>
    <x v="80"/>
    <x v="2"/>
    <x v="3"/>
    <x v="6"/>
    <x v="1"/>
    <n v="56"/>
    <x v="4"/>
    <s v="Middle Age"/>
    <x v="4"/>
    <n v="4478"/>
    <x v="1"/>
    <x v="3"/>
    <x v="2"/>
    <x v="4"/>
    <x v="0"/>
  </r>
  <r>
    <x v="81"/>
    <x v="5"/>
    <x v="1"/>
    <x v="7"/>
    <x v="0"/>
    <n v="17"/>
    <x v="6"/>
    <s v="Teenager"/>
    <x v="6"/>
    <n v="1474"/>
    <x v="3"/>
    <x v="4"/>
    <x v="2"/>
    <x v="38"/>
    <x v="1"/>
  </r>
  <r>
    <x v="82"/>
    <x v="4"/>
    <x v="0"/>
    <x v="5"/>
    <x v="0"/>
    <n v="18"/>
    <x v="6"/>
    <s v="Teenager"/>
    <x v="6"/>
    <n v="19202"/>
    <x v="2"/>
    <x v="14"/>
    <x v="4"/>
    <x v="39"/>
    <x v="1"/>
  </r>
  <r>
    <x v="83"/>
    <x v="1"/>
    <x v="2"/>
    <x v="8"/>
    <x v="1"/>
    <n v="59"/>
    <x v="4"/>
    <s v="Middle Age"/>
    <x v="4"/>
    <n v="3677"/>
    <x v="1"/>
    <x v="0"/>
    <x v="0"/>
    <x v="37"/>
    <x v="0"/>
  </r>
  <r>
    <x v="84"/>
    <x v="4"/>
    <x v="2"/>
    <x v="8"/>
    <x v="1"/>
    <n v="11"/>
    <x v="1"/>
    <s v="Child"/>
    <x v="3"/>
    <n v="4852"/>
    <x v="1"/>
    <x v="6"/>
    <x v="2"/>
    <x v="0"/>
    <x v="3"/>
  </r>
  <r>
    <x v="85"/>
    <x v="2"/>
    <x v="0"/>
    <x v="4"/>
    <x v="1"/>
    <n v="9"/>
    <x v="1"/>
    <s v="Child"/>
    <x v="3"/>
    <n v="17799"/>
    <x v="2"/>
    <x v="9"/>
    <x v="1"/>
    <x v="32"/>
    <x v="2"/>
  </r>
  <r>
    <x v="86"/>
    <x v="6"/>
    <x v="0"/>
    <x v="9"/>
    <x v="1"/>
    <n v="3"/>
    <x v="1"/>
    <s v="Infant"/>
    <x v="1"/>
    <n v="15179"/>
    <x v="2"/>
    <x v="0"/>
    <x v="0"/>
    <x v="22"/>
    <x v="1"/>
  </r>
  <r>
    <x v="87"/>
    <x v="3"/>
    <x v="1"/>
    <x v="5"/>
    <x v="0"/>
    <n v="28"/>
    <x v="0"/>
    <s v="Youth"/>
    <x v="5"/>
    <n v="1152"/>
    <x v="3"/>
    <x v="4"/>
    <x v="2"/>
    <x v="27"/>
    <x v="1"/>
  </r>
  <r>
    <x v="88"/>
    <x v="6"/>
    <x v="2"/>
    <x v="7"/>
    <x v="0"/>
    <n v="15"/>
    <x v="6"/>
    <s v="Teenager"/>
    <x v="6"/>
    <n v="2341"/>
    <x v="3"/>
    <x v="10"/>
    <x v="3"/>
    <x v="7"/>
    <x v="1"/>
  </r>
  <r>
    <x v="89"/>
    <x v="2"/>
    <x v="0"/>
    <x v="3"/>
    <x v="0"/>
    <n v="49"/>
    <x v="3"/>
    <s v="Middle Age"/>
    <x v="4"/>
    <n v="11498"/>
    <x v="4"/>
    <x v="1"/>
    <x v="0"/>
    <x v="21"/>
    <x v="1"/>
  </r>
  <r>
    <x v="90"/>
    <x v="2"/>
    <x v="3"/>
    <x v="5"/>
    <x v="0"/>
    <n v="39"/>
    <x v="3"/>
    <s v="Adult"/>
    <x v="0"/>
    <n v="1491"/>
    <x v="3"/>
    <x v="7"/>
    <x v="3"/>
    <x v="31"/>
    <x v="3"/>
  </r>
  <r>
    <x v="91"/>
    <x v="1"/>
    <x v="2"/>
    <x v="2"/>
    <x v="1"/>
    <n v="48"/>
    <x v="3"/>
    <s v="Middle Age"/>
    <x v="4"/>
    <n v="1564"/>
    <x v="3"/>
    <x v="11"/>
    <x v="4"/>
    <x v="24"/>
    <x v="1"/>
  </r>
  <r>
    <x v="92"/>
    <x v="5"/>
    <x v="0"/>
    <x v="8"/>
    <x v="0"/>
    <n v="14"/>
    <x v="6"/>
    <s v="Teenager"/>
    <x v="6"/>
    <n v="12102"/>
    <x v="4"/>
    <x v="11"/>
    <x v="4"/>
    <x v="17"/>
    <x v="1"/>
  </r>
  <r>
    <x v="93"/>
    <x v="6"/>
    <x v="1"/>
    <x v="7"/>
    <x v="1"/>
    <n v="67"/>
    <x v="5"/>
    <s v="Elderly"/>
    <x v="2"/>
    <n v="1532"/>
    <x v="3"/>
    <x v="6"/>
    <x v="2"/>
    <x v="26"/>
    <x v="3"/>
  </r>
  <r>
    <x v="94"/>
    <x v="6"/>
    <x v="1"/>
    <x v="6"/>
    <x v="1"/>
    <n v="76"/>
    <x v="5"/>
    <s v="Elderly"/>
    <x v="2"/>
    <n v="749"/>
    <x v="3"/>
    <x v="6"/>
    <x v="2"/>
    <x v="22"/>
    <x v="1"/>
  </r>
  <r>
    <x v="95"/>
    <x v="6"/>
    <x v="0"/>
    <x v="3"/>
    <x v="0"/>
    <n v="32"/>
    <x v="0"/>
    <s v="Adult"/>
    <x v="0"/>
    <n v="17295"/>
    <x v="2"/>
    <x v="14"/>
    <x v="4"/>
    <x v="6"/>
    <x v="1"/>
  </r>
  <r>
    <x v="96"/>
    <x v="2"/>
    <x v="1"/>
    <x v="4"/>
    <x v="1"/>
    <n v="42"/>
    <x v="3"/>
    <s v="Adult"/>
    <x v="0"/>
    <n v="572"/>
    <x v="3"/>
    <x v="6"/>
    <x v="2"/>
    <x v="40"/>
    <x v="1"/>
  </r>
  <r>
    <x v="97"/>
    <x v="5"/>
    <x v="2"/>
    <x v="4"/>
    <x v="1"/>
    <n v="77"/>
    <x v="5"/>
    <s v="Elderly"/>
    <x v="2"/>
    <n v="6744"/>
    <x v="1"/>
    <x v="10"/>
    <x v="3"/>
    <x v="14"/>
    <x v="0"/>
  </r>
  <r>
    <x v="98"/>
    <x v="1"/>
    <x v="3"/>
    <x v="5"/>
    <x v="1"/>
    <n v="53"/>
    <x v="4"/>
    <s v="Middle Age"/>
    <x v="4"/>
    <n v="4502"/>
    <x v="1"/>
    <x v="7"/>
    <x v="3"/>
    <x v="37"/>
    <x v="3"/>
  </r>
  <r>
    <x v="99"/>
    <x v="3"/>
    <x v="1"/>
    <x v="6"/>
    <x v="1"/>
    <n v="3"/>
    <x v="1"/>
    <s v="Infant"/>
    <x v="1"/>
    <n v="390"/>
    <x v="3"/>
    <x v="6"/>
    <x v="2"/>
    <x v="1"/>
    <x v="1"/>
  </r>
  <r>
    <x v="100"/>
    <x v="4"/>
    <x v="3"/>
    <x v="3"/>
    <x v="0"/>
    <n v="48"/>
    <x v="3"/>
    <s v="Middle Age"/>
    <x v="4"/>
    <n v="4376"/>
    <x v="1"/>
    <x v="7"/>
    <x v="3"/>
    <x v="41"/>
    <x v="0"/>
  </r>
  <r>
    <x v="101"/>
    <x v="5"/>
    <x v="1"/>
    <x v="2"/>
    <x v="1"/>
    <n v="90"/>
    <x v="2"/>
    <s v="Elderly"/>
    <x v="2"/>
    <n v="1129"/>
    <x v="3"/>
    <x v="6"/>
    <x v="2"/>
    <x v="35"/>
    <x v="1"/>
  </r>
  <r>
    <x v="102"/>
    <x v="5"/>
    <x v="3"/>
    <x v="5"/>
    <x v="0"/>
    <n v="41"/>
    <x v="3"/>
    <s v="Adult"/>
    <x v="0"/>
    <n v="1479"/>
    <x v="3"/>
    <x v="7"/>
    <x v="3"/>
    <x v="37"/>
    <x v="3"/>
  </r>
  <r>
    <x v="103"/>
    <x v="0"/>
    <x v="3"/>
    <x v="9"/>
    <x v="1"/>
    <n v="62"/>
    <x v="4"/>
    <s v="Elderly"/>
    <x v="2"/>
    <n v="2765"/>
    <x v="3"/>
    <x v="7"/>
    <x v="3"/>
    <x v="37"/>
    <x v="3"/>
  </r>
  <r>
    <x v="104"/>
    <x v="2"/>
    <x v="2"/>
    <x v="5"/>
    <x v="0"/>
    <n v="38"/>
    <x v="3"/>
    <s v="Adult"/>
    <x v="0"/>
    <n v="2863"/>
    <x v="3"/>
    <x v="0"/>
    <x v="0"/>
    <x v="39"/>
    <x v="1"/>
  </r>
  <r>
    <x v="105"/>
    <x v="5"/>
    <x v="0"/>
    <x v="2"/>
    <x v="1"/>
    <n v="6"/>
    <x v="1"/>
    <s v="Child"/>
    <x v="3"/>
    <n v="5893"/>
    <x v="1"/>
    <x v="2"/>
    <x v="1"/>
    <x v="42"/>
    <x v="2"/>
  </r>
  <r>
    <x v="106"/>
    <x v="0"/>
    <x v="3"/>
    <x v="6"/>
    <x v="1"/>
    <n v="2"/>
    <x v="1"/>
    <s v="Infant"/>
    <x v="1"/>
    <n v="2829"/>
    <x v="3"/>
    <x v="8"/>
    <x v="3"/>
    <x v="43"/>
    <x v="0"/>
  </r>
  <r>
    <x v="107"/>
    <x v="4"/>
    <x v="2"/>
    <x v="7"/>
    <x v="0"/>
    <n v="33"/>
    <x v="0"/>
    <s v="Adult"/>
    <x v="0"/>
    <n v="4913"/>
    <x v="1"/>
    <x v="4"/>
    <x v="2"/>
    <x v="21"/>
    <x v="1"/>
  </r>
  <r>
    <x v="108"/>
    <x v="4"/>
    <x v="1"/>
    <x v="5"/>
    <x v="0"/>
    <n v="88"/>
    <x v="2"/>
    <s v="Elderly"/>
    <x v="2"/>
    <n v="309"/>
    <x v="3"/>
    <x v="3"/>
    <x v="2"/>
    <x v="44"/>
    <x v="1"/>
  </r>
  <r>
    <x v="109"/>
    <x v="6"/>
    <x v="2"/>
    <x v="5"/>
    <x v="2"/>
    <n v="16"/>
    <x v="6"/>
    <s v="Teenager"/>
    <x v="6"/>
    <n v="5571"/>
    <x v="1"/>
    <x v="1"/>
    <x v="0"/>
    <x v="20"/>
    <x v="0"/>
  </r>
  <r>
    <x v="110"/>
    <x v="2"/>
    <x v="3"/>
    <x v="2"/>
    <x v="1"/>
    <n v="57"/>
    <x v="4"/>
    <s v="Middle Age"/>
    <x v="4"/>
    <n v="2935"/>
    <x v="3"/>
    <x v="7"/>
    <x v="3"/>
    <x v="13"/>
    <x v="0"/>
  </r>
  <r>
    <x v="111"/>
    <x v="5"/>
    <x v="0"/>
    <x v="1"/>
    <x v="0"/>
    <n v="13"/>
    <x v="6"/>
    <s v="Teenager"/>
    <x v="6"/>
    <n v="17496"/>
    <x v="2"/>
    <x v="1"/>
    <x v="0"/>
    <x v="17"/>
    <x v="0"/>
  </r>
  <r>
    <x v="112"/>
    <x v="3"/>
    <x v="2"/>
    <x v="5"/>
    <x v="1"/>
    <n v="23"/>
    <x v="0"/>
    <s v="Youth"/>
    <x v="5"/>
    <n v="5521"/>
    <x v="1"/>
    <x v="4"/>
    <x v="2"/>
    <x v="9"/>
    <x v="1"/>
  </r>
  <r>
    <x v="113"/>
    <x v="1"/>
    <x v="1"/>
    <x v="6"/>
    <x v="0"/>
    <n v="61"/>
    <x v="4"/>
    <s v="Elderly"/>
    <x v="2"/>
    <n v="796"/>
    <x v="3"/>
    <x v="3"/>
    <x v="2"/>
    <x v="1"/>
    <x v="1"/>
  </r>
  <r>
    <x v="114"/>
    <x v="5"/>
    <x v="2"/>
    <x v="6"/>
    <x v="1"/>
    <n v="30"/>
    <x v="0"/>
    <s v="Adult"/>
    <x v="0"/>
    <n v="3167"/>
    <x v="1"/>
    <x v="7"/>
    <x v="3"/>
    <x v="13"/>
    <x v="0"/>
  </r>
  <r>
    <x v="115"/>
    <x v="1"/>
    <x v="3"/>
    <x v="7"/>
    <x v="0"/>
    <n v="19"/>
    <x v="6"/>
    <s v="Teenager"/>
    <x v="6"/>
    <n v="1084"/>
    <x v="3"/>
    <x v="3"/>
    <x v="2"/>
    <x v="9"/>
    <x v="1"/>
  </r>
  <r>
    <x v="116"/>
    <x v="6"/>
    <x v="2"/>
    <x v="1"/>
    <x v="0"/>
    <n v="73"/>
    <x v="5"/>
    <s v="Elderly"/>
    <x v="2"/>
    <n v="3364"/>
    <x v="1"/>
    <x v="5"/>
    <x v="0"/>
    <x v="45"/>
    <x v="1"/>
  </r>
  <r>
    <x v="117"/>
    <x v="4"/>
    <x v="2"/>
    <x v="8"/>
    <x v="0"/>
    <n v="65"/>
    <x v="5"/>
    <s v="Elderly"/>
    <x v="2"/>
    <n v="5423"/>
    <x v="1"/>
    <x v="5"/>
    <x v="0"/>
    <x v="36"/>
    <x v="0"/>
  </r>
  <r>
    <x v="118"/>
    <x v="1"/>
    <x v="0"/>
    <x v="8"/>
    <x v="0"/>
    <n v="78"/>
    <x v="5"/>
    <s v="Elderly"/>
    <x v="2"/>
    <n v="9102"/>
    <x v="0"/>
    <x v="7"/>
    <x v="3"/>
    <x v="46"/>
    <x v="1"/>
  </r>
  <r>
    <x v="119"/>
    <x v="3"/>
    <x v="0"/>
    <x v="3"/>
    <x v="0"/>
    <n v="23"/>
    <x v="0"/>
    <s v="Youth"/>
    <x v="5"/>
    <n v="12708"/>
    <x v="4"/>
    <x v="2"/>
    <x v="1"/>
    <x v="24"/>
    <x v="2"/>
  </r>
  <r>
    <x v="120"/>
    <x v="4"/>
    <x v="2"/>
    <x v="7"/>
    <x v="2"/>
    <n v="56"/>
    <x v="4"/>
    <s v="Middle Age"/>
    <x v="4"/>
    <n v="6200"/>
    <x v="1"/>
    <x v="5"/>
    <x v="0"/>
    <x v="46"/>
    <x v="1"/>
  </r>
  <r>
    <x v="121"/>
    <x v="4"/>
    <x v="2"/>
    <x v="8"/>
    <x v="1"/>
    <n v="86"/>
    <x v="2"/>
    <s v="Elderly"/>
    <x v="2"/>
    <n v="1856"/>
    <x v="3"/>
    <x v="8"/>
    <x v="3"/>
    <x v="47"/>
    <x v="0"/>
  </r>
  <r>
    <x v="122"/>
    <x v="4"/>
    <x v="1"/>
    <x v="3"/>
    <x v="0"/>
    <n v="52"/>
    <x v="4"/>
    <s v="Middle Age"/>
    <x v="4"/>
    <n v="1866"/>
    <x v="3"/>
    <x v="4"/>
    <x v="2"/>
    <x v="32"/>
    <x v="1"/>
  </r>
  <r>
    <x v="123"/>
    <x v="4"/>
    <x v="0"/>
    <x v="4"/>
    <x v="1"/>
    <n v="15"/>
    <x v="6"/>
    <s v="Teenager"/>
    <x v="6"/>
    <n v="17657"/>
    <x v="2"/>
    <x v="12"/>
    <x v="4"/>
    <x v="33"/>
    <x v="1"/>
  </r>
  <r>
    <x v="124"/>
    <x v="6"/>
    <x v="0"/>
    <x v="2"/>
    <x v="1"/>
    <n v="7"/>
    <x v="1"/>
    <s v="Child"/>
    <x v="3"/>
    <n v="8073"/>
    <x v="0"/>
    <x v="2"/>
    <x v="1"/>
    <x v="48"/>
    <x v="2"/>
  </r>
  <r>
    <x v="125"/>
    <x v="2"/>
    <x v="1"/>
    <x v="6"/>
    <x v="0"/>
    <n v="27"/>
    <x v="0"/>
    <s v="Youth"/>
    <x v="5"/>
    <n v="746"/>
    <x v="3"/>
    <x v="4"/>
    <x v="2"/>
    <x v="29"/>
    <x v="1"/>
  </r>
  <r>
    <x v="126"/>
    <x v="5"/>
    <x v="1"/>
    <x v="6"/>
    <x v="1"/>
    <n v="81"/>
    <x v="2"/>
    <s v="Elderly"/>
    <x v="2"/>
    <n v="1446"/>
    <x v="3"/>
    <x v="3"/>
    <x v="2"/>
    <x v="28"/>
    <x v="3"/>
  </r>
  <r>
    <x v="127"/>
    <x v="3"/>
    <x v="2"/>
    <x v="2"/>
    <x v="1"/>
    <n v="53"/>
    <x v="4"/>
    <s v="Middle Age"/>
    <x v="4"/>
    <n v="1763"/>
    <x v="3"/>
    <x v="7"/>
    <x v="3"/>
    <x v="45"/>
    <x v="1"/>
  </r>
  <r>
    <x v="128"/>
    <x v="4"/>
    <x v="0"/>
    <x v="7"/>
    <x v="0"/>
    <n v="38"/>
    <x v="3"/>
    <s v="Adult"/>
    <x v="0"/>
    <n v="13337"/>
    <x v="4"/>
    <x v="5"/>
    <x v="0"/>
    <x v="2"/>
    <x v="0"/>
  </r>
  <r>
    <x v="129"/>
    <x v="6"/>
    <x v="1"/>
    <x v="6"/>
    <x v="1"/>
    <n v="71"/>
    <x v="5"/>
    <s v="Elderly"/>
    <x v="2"/>
    <n v="496"/>
    <x v="3"/>
    <x v="6"/>
    <x v="2"/>
    <x v="49"/>
    <x v="1"/>
  </r>
  <r>
    <x v="130"/>
    <x v="2"/>
    <x v="3"/>
    <x v="5"/>
    <x v="1"/>
    <n v="54"/>
    <x v="4"/>
    <s v="Middle Age"/>
    <x v="4"/>
    <n v="3284"/>
    <x v="1"/>
    <x v="7"/>
    <x v="3"/>
    <x v="10"/>
    <x v="1"/>
  </r>
  <r>
    <x v="131"/>
    <x v="6"/>
    <x v="0"/>
    <x v="3"/>
    <x v="0"/>
    <n v="76"/>
    <x v="5"/>
    <s v="Elderly"/>
    <x v="2"/>
    <n v="14501"/>
    <x v="4"/>
    <x v="9"/>
    <x v="1"/>
    <x v="12"/>
    <x v="2"/>
  </r>
  <r>
    <x v="132"/>
    <x v="6"/>
    <x v="3"/>
    <x v="6"/>
    <x v="0"/>
    <n v="45"/>
    <x v="3"/>
    <s v="Middle Age"/>
    <x v="4"/>
    <n v="3223"/>
    <x v="1"/>
    <x v="7"/>
    <x v="3"/>
    <x v="37"/>
    <x v="3"/>
  </r>
  <r>
    <x v="133"/>
    <x v="2"/>
    <x v="1"/>
    <x v="6"/>
    <x v="0"/>
    <n v="25"/>
    <x v="0"/>
    <s v="Youth"/>
    <x v="5"/>
    <n v="1628"/>
    <x v="3"/>
    <x v="3"/>
    <x v="2"/>
    <x v="6"/>
    <x v="3"/>
  </r>
  <r>
    <x v="134"/>
    <x v="4"/>
    <x v="3"/>
    <x v="8"/>
    <x v="1"/>
    <n v="61"/>
    <x v="4"/>
    <s v="Elderly"/>
    <x v="2"/>
    <n v="3623"/>
    <x v="1"/>
    <x v="8"/>
    <x v="3"/>
    <x v="25"/>
    <x v="3"/>
  </r>
  <r>
    <x v="135"/>
    <x v="6"/>
    <x v="3"/>
    <x v="6"/>
    <x v="0"/>
    <n v="17"/>
    <x v="6"/>
    <s v="Teenager"/>
    <x v="6"/>
    <n v="4614"/>
    <x v="1"/>
    <x v="7"/>
    <x v="3"/>
    <x v="47"/>
    <x v="0"/>
  </r>
  <r>
    <x v="136"/>
    <x v="6"/>
    <x v="0"/>
    <x v="6"/>
    <x v="1"/>
    <n v="59"/>
    <x v="4"/>
    <s v="Middle Age"/>
    <x v="4"/>
    <n v="5251"/>
    <x v="1"/>
    <x v="0"/>
    <x v="0"/>
    <x v="2"/>
    <x v="0"/>
  </r>
  <r>
    <x v="137"/>
    <x v="6"/>
    <x v="3"/>
    <x v="5"/>
    <x v="1"/>
    <n v="34"/>
    <x v="0"/>
    <s v="Adult"/>
    <x v="0"/>
    <n v="3273"/>
    <x v="1"/>
    <x v="7"/>
    <x v="3"/>
    <x v="3"/>
    <x v="3"/>
  </r>
  <r>
    <x v="138"/>
    <x v="4"/>
    <x v="0"/>
    <x v="4"/>
    <x v="0"/>
    <n v="69"/>
    <x v="5"/>
    <s v="Elderly"/>
    <x v="2"/>
    <n v="11226"/>
    <x v="4"/>
    <x v="11"/>
    <x v="4"/>
    <x v="17"/>
    <x v="1"/>
  </r>
  <r>
    <x v="139"/>
    <x v="0"/>
    <x v="1"/>
    <x v="2"/>
    <x v="1"/>
    <n v="9"/>
    <x v="1"/>
    <s v="Child"/>
    <x v="3"/>
    <n v="680"/>
    <x v="3"/>
    <x v="4"/>
    <x v="2"/>
    <x v="30"/>
    <x v="3"/>
  </r>
  <r>
    <x v="140"/>
    <x v="5"/>
    <x v="3"/>
    <x v="5"/>
    <x v="1"/>
    <n v="13"/>
    <x v="6"/>
    <s v="Teenager"/>
    <x v="6"/>
    <n v="1323"/>
    <x v="3"/>
    <x v="8"/>
    <x v="3"/>
    <x v="9"/>
    <x v="1"/>
  </r>
  <r>
    <x v="141"/>
    <x v="0"/>
    <x v="2"/>
    <x v="0"/>
    <x v="1"/>
    <n v="8"/>
    <x v="1"/>
    <s v="Child"/>
    <x v="3"/>
    <n v="3403"/>
    <x v="1"/>
    <x v="0"/>
    <x v="0"/>
    <x v="48"/>
    <x v="0"/>
  </r>
  <r>
    <x v="142"/>
    <x v="4"/>
    <x v="3"/>
    <x v="9"/>
    <x v="0"/>
    <n v="73"/>
    <x v="5"/>
    <s v="Elderly"/>
    <x v="2"/>
    <n v="1975"/>
    <x v="3"/>
    <x v="6"/>
    <x v="2"/>
    <x v="39"/>
    <x v="1"/>
  </r>
  <r>
    <x v="143"/>
    <x v="1"/>
    <x v="1"/>
    <x v="1"/>
    <x v="0"/>
    <n v="64"/>
    <x v="4"/>
    <s v="Elderly"/>
    <x v="2"/>
    <n v="1394"/>
    <x v="3"/>
    <x v="3"/>
    <x v="2"/>
    <x v="1"/>
    <x v="1"/>
  </r>
  <r>
    <x v="144"/>
    <x v="4"/>
    <x v="2"/>
    <x v="6"/>
    <x v="1"/>
    <n v="2"/>
    <x v="1"/>
    <s v="Infant"/>
    <x v="1"/>
    <n v="4811"/>
    <x v="1"/>
    <x v="10"/>
    <x v="3"/>
    <x v="30"/>
    <x v="0"/>
  </r>
  <r>
    <x v="145"/>
    <x v="2"/>
    <x v="3"/>
    <x v="5"/>
    <x v="1"/>
    <n v="45"/>
    <x v="3"/>
    <s v="Middle Age"/>
    <x v="4"/>
    <n v="2950"/>
    <x v="3"/>
    <x v="8"/>
    <x v="3"/>
    <x v="3"/>
    <x v="3"/>
  </r>
  <r>
    <x v="146"/>
    <x v="5"/>
    <x v="1"/>
    <x v="3"/>
    <x v="1"/>
    <n v="50"/>
    <x v="4"/>
    <s v="Middle Age"/>
    <x v="4"/>
    <n v="1947"/>
    <x v="3"/>
    <x v="6"/>
    <x v="2"/>
    <x v="7"/>
    <x v="1"/>
  </r>
  <r>
    <x v="147"/>
    <x v="3"/>
    <x v="1"/>
    <x v="1"/>
    <x v="1"/>
    <n v="38"/>
    <x v="3"/>
    <s v="Adult"/>
    <x v="0"/>
    <n v="1632"/>
    <x v="3"/>
    <x v="6"/>
    <x v="2"/>
    <x v="38"/>
    <x v="1"/>
  </r>
  <r>
    <x v="148"/>
    <x v="6"/>
    <x v="1"/>
    <x v="3"/>
    <x v="1"/>
    <n v="88"/>
    <x v="2"/>
    <s v="Elderly"/>
    <x v="2"/>
    <n v="1793"/>
    <x v="3"/>
    <x v="4"/>
    <x v="2"/>
    <x v="19"/>
    <x v="1"/>
  </r>
  <r>
    <x v="149"/>
    <x v="2"/>
    <x v="1"/>
    <x v="3"/>
    <x v="0"/>
    <n v="30"/>
    <x v="0"/>
    <s v="Adult"/>
    <x v="0"/>
    <n v="1443"/>
    <x v="3"/>
    <x v="6"/>
    <x v="2"/>
    <x v="1"/>
    <x v="1"/>
  </r>
  <r>
    <x v="150"/>
    <x v="0"/>
    <x v="3"/>
    <x v="1"/>
    <x v="1"/>
    <n v="85"/>
    <x v="2"/>
    <s v="Elderly"/>
    <x v="2"/>
    <n v="1620"/>
    <x v="3"/>
    <x v="3"/>
    <x v="2"/>
    <x v="17"/>
    <x v="3"/>
  </r>
  <r>
    <x v="151"/>
    <x v="0"/>
    <x v="0"/>
    <x v="3"/>
    <x v="0"/>
    <n v="5"/>
    <x v="1"/>
    <s v="Infant"/>
    <x v="1"/>
    <n v="14495"/>
    <x v="4"/>
    <x v="11"/>
    <x v="4"/>
    <x v="16"/>
    <x v="1"/>
  </r>
  <r>
    <x v="152"/>
    <x v="3"/>
    <x v="0"/>
    <x v="3"/>
    <x v="1"/>
    <n v="54"/>
    <x v="4"/>
    <s v="Middle Age"/>
    <x v="4"/>
    <n v="7877"/>
    <x v="0"/>
    <x v="1"/>
    <x v="0"/>
    <x v="29"/>
    <x v="1"/>
  </r>
  <r>
    <x v="153"/>
    <x v="6"/>
    <x v="2"/>
    <x v="2"/>
    <x v="0"/>
    <n v="35"/>
    <x v="3"/>
    <s v="Adult"/>
    <x v="0"/>
    <n v="2347"/>
    <x v="3"/>
    <x v="10"/>
    <x v="3"/>
    <x v="43"/>
    <x v="0"/>
  </r>
  <r>
    <x v="154"/>
    <x v="6"/>
    <x v="2"/>
    <x v="4"/>
    <x v="0"/>
    <n v="60"/>
    <x v="4"/>
    <s v="Middle Age"/>
    <x v="4"/>
    <n v="1616"/>
    <x v="3"/>
    <x v="8"/>
    <x v="3"/>
    <x v="37"/>
    <x v="3"/>
  </r>
  <r>
    <x v="155"/>
    <x v="3"/>
    <x v="1"/>
    <x v="2"/>
    <x v="1"/>
    <n v="51"/>
    <x v="4"/>
    <s v="Middle Age"/>
    <x v="4"/>
    <n v="228"/>
    <x v="3"/>
    <x v="6"/>
    <x v="2"/>
    <x v="5"/>
    <x v="0"/>
  </r>
  <r>
    <x v="156"/>
    <x v="1"/>
    <x v="1"/>
    <x v="4"/>
    <x v="0"/>
    <n v="87"/>
    <x v="2"/>
    <s v="Elderly"/>
    <x v="2"/>
    <n v="736"/>
    <x v="3"/>
    <x v="4"/>
    <x v="2"/>
    <x v="4"/>
    <x v="0"/>
  </r>
  <r>
    <x v="157"/>
    <x v="6"/>
    <x v="2"/>
    <x v="5"/>
    <x v="0"/>
    <n v="61"/>
    <x v="4"/>
    <s v="Elderly"/>
    <x v="2"/>
    <n v="1205"/>
    <x v="3"/>
    <x v="11"/>
    <x v="4"/>
    <x v="34"/>
    <x v="1"/>
  </r>
  <r>
    <x v="158"/>
    <x v="2"/>
    <x v="3"/>
    <x v="5"/>
    <x v="0"/>
    <n v="60"/>
    <x v="4"/>
    <s v="Middle Age"/>
    <x v="4"/>
    <n v="2975"/>
    <x v="3"/>
    <x v="8"/>
    <x v="3"/>
    <x v="45"/>
    <x v="1"/>
  </r>
  <r>
    <x v="159"/>
    <x v="3"/>
    <x v="0"/>
    <x v="0"/>
    <x v="1"/>
    <n v="64"/>
    <x v="4"/>
    <s v="Elderly"/>
    <x v="2"/>
    <n v="6902"/>
    <x v="1"/>
    <x v="10"/>
    <x v="3"/>
    <x v="22"/>
    <x v="1"/>
  </r>
  <r>
    <x v="160"/>
    <x v="2"/>
    <x v="3"/>
    <x v="8"/>
    <x v="1"/>
    <n v="86"/>
    <x v="2"/>
    <s v="Elderly"/>
    <x v="2"/>
    <n v="4925"/>
    <x v="1"/>
    <x v="8"/>
    <x v="3"/>
    <x v="50"/>
    <x v="3"/>
  </r>
  <r>
    <x v="161"/>
    <x v="0"/>
    <x v="3"/>
    <x v="8"/>
    <x v="0"/>
    <n v="63"/>
    <x v="4"/>
    <s v="Elderly"/>
    <x v="2"/>
    <n v="3843"/>
    <x v="1"/>
    <x v="4"/>
    <x v="2"/>
    <x v="32"/>
    <x v="1"/>
  </r>
  <r>
    <x v="162"/>
    <x v="0"/>
    <x v="2"/>
    <x v="9"/>
    <x v="1"/>
    <n v="31"/>
    <x v="0"/>
    <s v="Adult"/>
    <x v="0"/>
    <n v="3971"/>
    <x v="1"/>
    <x v="4"/>
    <x v="2"/>
    <x v="30"/>
    <x v="3"/>
  </r>
  <r>
    <x v="163"/>
    <x v="5"/>
    <x v="2"/>
    <x v="0"/>
    <x v="1"/>
    <n v="25"/>
    <x v="0"/>
    <s v="Youth"/>
    <x v="5"/>
    <n v="2000"/>
    <x v="3"/>
    <x v="5"/>
    <x v="0"/>
    <x v="46"/>
    <x v="1"/>
  </r>
  <r>
    <x v="164"/>
    <x v="0"/>
    <x v="3"/>
    <x v="1"/>
    <x v="0"/>
    <n v="7"/>
    <x v="1"/>
    <s v="Child"/>
    <x v="3"/>
    <n v="3232"/>
    <x v="1"/>
    <x v="6"/>
    <x v="2"/>
    <x v="29"/>
    <x v="1"/>
  </r>
  <r>
    <x v="165"/>
    <x v="6"/>
    <x v="3"/>
    <x v="5"/>
    <x v="0"/>
    <n v="71"/>
    <x v="5"/>
    <s v="Elderly"/>
    <x v="2"/>
    <n v="2197"/>
    <x v="3"/>
    <x v="7"/>
    <x v="3"/>
    <x v="40"/>
    <x v="1"/>
  </r>
  <r>
    <x v="166"/>
    <x v="6"/>
    <x v="3"/>
    <x v="4"/>
    <x v="0"/>
    <n v="77"/>
    <x v="5"/>
    <s v="Elderly"/>
    <x v="2"/>
    <n v="523"/>
    <x v="3"/>
    <x v="4"/>
    <x v="2"/>
    <x v="44"/>
    <x v="1"/>
  </r>
  <r>
    <x v="167"/>
    <x v="3"/>
    <x v="2"/>
    <x v="7"/>
    <x v="1"/>
    <n v="4"/>
    <x v="1"/>
    <s v="Infant"/>
    <x v="1"/>
    <n v="2079"/>
    <x v="3"/>
    <x v="6"/>
    <x v="2"/>
    <x v="8"/>
    <x v="0"/>
  </r>
  <r>
    <x v="168"/>
    <x v="6"/>
    <x v="3"/>
    <x v="1"/>
    <x v="1"/>
    <n v="23"/>
    <x v="0"/>
    <s v="Youth"/>
    <x v="5"/>
    <n v="2673"/>
    <x v="3"/>
    <x v="3"/>
    <x v="2"/>
    <x v="29"/>
    <x v="1"/>
  </r>
  <r>
    <x v="169"/>
    <x v="0"/>
    <x v="1"/>
    <x v="2"/>
    <x v="1"/>
    <n v="9"/>
    <x v="1"/>
    <s v="Child"/>
    <x v="3"/>
    <n v="1175"/>
    <x v="3"/>
    <x v="6"/>
    <x v="2"/>
    <x v="15"/>
    <x v="3"/>
  </r>
  <r>
    <x v="170"/>
    <x v="5"/>
    <x v="0"/>
    <x v="6"/>
    <x v="0"/>
    <n v="79"/>
    <x v="5"/>
    <s v="Elderly"/>
    <x v="2"/>
    <n v="5710"/>
    <x v="1"/>
    <x v="9"/>
    <x v="1"/>
    <x v="41"/>
    <x v="2"/>
  </r>
  <r>
    <x v="171"/>
    <x v="5"/>
    <x v="1"/>
    <x v="0"/>
    <x v="1"/>
    <n v="62"/>
    <x v="4"/>
    <s v="Elderly"/>
    <x v="2"/>
    <n v="1935"/>
    <x v="3"/>
    <x v="6"/>
    <x v="2"/>
    <x v="13"/>
    <x v="0"/>
  </r>
  <r>
    <x v="172"/>
    <x v="0"/>
    <x v="0"/>
    <x v="6"/>
    <x v="0"/>
    <n v="57"/>
    <x v="4"/>
    <s v="Middle Age"/>
    <x v="4"/>
    <n v="6204"/>
    <x v="1"/>
    <x v="10"/>
    <x v="3"/>
    <x v="34"/>
    <x v="0"/>
  </r>
  <r>
    <x v="173"/>
    <x v="2"/>
    <x v="3"/>
    <x v="5"/>
    <x v="1"/>
    <n v="80"/>
    <x v="2"/>
    <s v="Elderly"/>
    <x v="2"/>
    <n v="4992"/>
    <x v="1"/>
    <x v="4"/>
    <x v="2"/>
    <x v="4"/>
    <x v="0"/>
  </r>
  <r>
    <x v="174"/>
    <x v="2"/>
    <x v="2"/>
    <x v="6"/>
    <x v="0"/>
    <n v="56"/>
    <x v="4"/>
    <s v="Middle Age"/>
    <x v="4"/>
    <n v="1812"/>
    <x v="3"/>
    <x v="4"/>
    <x v="2"/>
    <x v="24"/>
    <x v="3"/>
  </r>
  <r>
    <x v="175"/>
    <x v="0"/>
    <x v="3"/>
    <x v="8"/>
    <x v="1"/>
    <n v="30"/>
    <x v="0"/>
    <s v="Adult"/>
    <x v="0"/>
    <n v="3889"/>
    <x v="1"/>
    <x v="4"/>
    <x v="2"/>
    <x v="23"/>
    <x v="0"/>
  </r>
  <r>
    <x v="176"/>
    <x v="4"/>
    <x v="1"/>
    <x v="5"/>
    <x v="1"/>
    <n v="41"/>
    <x v="3"/>
    <s v="Adult"/>
    <x v="0"/>
    <n v="1562"/>
    <x v="3"/>
    <x v="6"/>
    <x v="2"/>
    <x v="48"/>
    <x v="0"/>
  </r>
  <r>
    <x v="177"/>
    <x v="3"/>
    <x v="1"/>
    <x v="5"/>
    <x v="1"/>
    <n v="11"/>
    <x v="1"/>
    <s v="Child"/>
    <x v="3"/>
    <n v="390"/>
    <x v="3"/>
    <x v="6"/>
    <x v="2"/>
    <x v="7"/>
    <x v="1"/>
  </r>
  <r>
    <x v="178"/>
    <x v="0"/>
    <x v="2"/>
    <x v="7"/>
    <x v="0"/>
    <n v="76"/>
    <x v="5"/>
    <s v="Elderly"/>
    <x v="2"/>
    <n v="5600"/>
    <x v="1"/>
    <x v="11"/>
    <x v="4"/>
    <x v="47"/>
    <x v="1"/>
  </r>
  <r>
    <x v="179"/>
    <x v="0"/>
    <x v="0"/>
    <x v="8"/>
    <x v="1"/>
    <n v="86"/>
    <x v="2"/>
    <s v="Elderly"/>
    <x v="2"/>
    <n v="17292"/>
    <x v="2"/>
    <x v="12"/>
    <x v="4"/>
    <x v="16"/>
    <x v="1"/>
  </r>
  <r>
    <x v="180"/>
    <x v="1"/>
    <x v="2"/>
    <x v="1"/>
    <x v="1"/>
    <n v="14"/>
    <x v="6"/>
    <s v="Teenager"/>
    <x v="6"/>
    <n v="5734"/>
    <x v="1"/>
    <x v="11"/>
    <x v="4"/>
    <x v="40"/>
    <x v="1"/>
  </r>
  <r>
    <x v="181"/>
    <x v="3"/>
    <x v="1"/>
    <x v="9"/>
    <x v="0"/>
    <n v="45"/>
    <x v="3"/>
    <s v="Middle Age"/>
    <x v="4"/>
    <n v="1931"/>
    <x v="3"/>
    <x v="4"/>
    <x v="2"/>
    <x v="48"/>
    <x v="0"/>
  </r>
  <r>
    <x v="182"/>
    <x v="1"/>
    <x v="2"/>
    <x v="1"/>
    <x v="1"/>
    <n v="55"/>
    <x v="4"/>
    <s v="Middle Age"/>
    <x v="4"/>
    <n v="5595"/>
    <x v="1"/>
    <x v="11"/>
    <x v="4"/>
    <x v="38"/>
    <x v="1"/>
  </r>
  <r>
    <x v="183"/>
    <x v="2"/>
    <x v="2"/>
    <x v="0"/>
    <x v="1"/>
    <n v="90"/>
    <x v="2"/>
    <s v="Elderly"/>
    <x v="2"/>
    <n v="3531"/>
    <x v="1"/>
    <x v="0"/>
    <x v="0"/>
    <x v="8"/>
    <x v="0"/>
  </r>
  <r>
    <x v="184"/>
    <x v="1"/>
    <x v="3"/>
    <x v="7"/>
    <x v="0"/>
    <n v="52"/>
    <x v="4"/>
    <s v="Middle Age"/>
    <x v="4"/>
    <n v="1070"/>
    <x v="3"/>
    <x v="6"/>
    <x v="2"/>
    <x v="0"/>
    <x v="3"/>
  </r>
  <r>
    <x v="185"/>
    <x v="0"/>
    <x v="0"/>
    <x v="5"/>
    <x v="0"/>
    <n v="28"/>
    <x v="0"/>
    <s v="Youth"/>
    <x v="5"/>
    <n v="11163"/>
    <x v="4"/>
    <x v="12"/>
    <x v="4"/>
    <x v="23"/>
    <x v="1"/>
  </r>
  <r>
    <x v="186"/>
    <x v="5"/>
    <x v="3"/>
    <x v="4"/>
    <x v="1"/>
    <n v="42"/>
    <x v="3"/>
    <s v="Adult"/>
    <x v="0"/>
    <n v="1195"/>
    <x v="3"/>
    <x v="3"/>
    <x v="2"/>
    <x v="44"/>
    <x v="1"/>
  </r>
  <r>
    <x v="187"/>
    <x v="3"/>
    <x v="0"/>
    <x v="5"/>
    <x v="1"/>
    <n v="85"/>
    <x v="2"/>
    <s v="Elderly"/>
    <x v="2"/>
    <n v="11947"/>
    <x v="4"/>
    <x v="14"/>
    <x v="4"/>
    <x v="20"/>
    <x v="1"/>
  </r>
  <r>
    <x v="188"/>
    <x v="4"/>
    <x v="1"/>
    <x v="3"/>
    <x v="1"/>
    <n v="66"/>
    <x v="5"/>
    <s v="Elderly"/>
    <x v="2"/>
    <n v="433"/>
    <x v="3"/>
    <x v="6"/>
    <x v="2"/>
    <x v="13"/>
    <x v="0"/>
  </r>
  <r>
    <x v="189"/>
    <x v="1"/>
    <x v="2"/>
    <x v="1"/>
    <x v="1"/>
    <n v="86"/>
    <x v="2"/>
    <s v="Elderly"/>
    <x v="2"/>
    <n v="3526"/>
    <x v="1"/>
    <x v="6"/>
    <x v="2"/>
    <x v="1"/>
    <x v="1"/>
  </r>
  <r>
    <x v="190"/>
    <x v="4"/>
    <x v="0"/>
    <x v="0"/>
    <x v="1"/>
    <n v="28"/>
    <x v="0"/>
    <s v="Youth"/>
    <x v="5"/>
    <n v="17572"/>
    <x v="2"/>
    <x v="0"/>
    <x v="0"/>
    <x v="37"/>
    <x v="0"/>
  </r>
  <r>
    <x v="191"/>
    <x v="5"/>
    <x v="2"/>
    <x v="4"/>
    <x v="1"/>
    <n v="64"/>
    <x v="4"/>
    <s v="Elderly"/>
    <x v="2"/>
    <n v="4527"/>
    <x v="1"/>
    <x v="8"/>
    <x v="3"/>
    <x v="29"/>
    <x v="1"/>
  </r>
  <r>
    <x v="192"/>
    <x v="4"/>
    <x v="3"/>
    <x v="2"/>
    <x v="0"/>
    <n v="86"/>
    <x v="2"/>
    <s v="Elderly"/>
    <x v="2"/>
    <n v="3401"/>
    <x v="1"/>
    <x v="3"/>
    <x v="2"/>
    <x v="11"/>
    <x v="0"/>
  </r>
  <r>
    <x v="193"/>
    <x v="6"/>
    <x v="0"/>
    <x v="8"/>
    <x v="1"/>
    <n v="10"/>
    <x v="1"/>
    <s v="Child"/>
    <x v="3"/>
    <n v="19124"/>
    <x v="2"/>
    <x v="11"/>
    <x v="4"/>
    <x v="6"/>
    <x v="1"/>
  </r>
  <r>
    <x v="194"/>
    <x v="4"/>
    <x v="1"/>
    <x v="8"/>
    <x v="1"/>
    <n v="52"/>
    <x v="4"/>
    <s v="Middle Age"/>
    <x v="4"/>
    <n v="242"/>
    <x v="3"/>
    <x v="6"/>
    <x v="2"/>
    <x v="9"/>
    <x v="1"/>
  </r>
  <r>
    <x v="195"/>
    <x v="6"/>
    <x v="1"/>
    <x v="4"/>
    <x v="1"/>
    <n v="14"/>
    <x v="6"/>
    <s v="Teenager"/>
    <x v="6"/>
    <n v="698"/>
    <x v="3"/>
    <x v="6"/>
    <x v="2"/>
    <x v="50"/>
    <x v="3"/>
  </r>
  <r>
    <x v="196"/>
    <x v="4"/>
    <x v="0"/>
    <x v="8"/>
    <x v="0"/>
    <n v="44"/>
    <x v="3"/>
    <s v="Adult"/>
    <x v="0"/>
    <n v="8630"/>
    <x v="0"/>
    <x v="11"/>
    <x v="4"/>
    <x v="15"/>
    <x v="1"/>
  </r>
  <r>
    <x v="197"/>
    <x v="3"/>
    <x v="0"/>
    <x v="2"/>
    <x v="0"/>
    <n v="68"/>
    <x v="5"/>
    <s v="Elderly"/>
    <x v="2"/>
    <n v="13355"/>
    <x v="4"/>
    <x v="1"/>
    <x v="0"/>
    <x v="15"/>
    <x v="0"/>
  </r>
  <r>
    <x v="198"/>
    <x v="5"/>
    <x v="2"/>
    <x v="7"/>
    <x v="1"/>
    <n v="19"/>
    <x v="6"/>
    <s v="Teenager"/>
    <x v="6"/>
    <n v="3096"/>
    <x v="1"/>
    <x v="7"/>
    <x v="3"/>
    <x v="39"/>
    <x v="1"/>
  </r>
  <r>
    <x v="199"/>
    <x v="2"/>
    <x v="3"/>
    <x v="5"/>
    <x v="1"/>
    <n v="81"/>
    <x v="2"/>
    <s v="Elderly"/>
    <x v="2"/>
    <n v="4547"/>
    <x v="1"/>
    <x v="8"/>
    <x v="3"/>
    <x v="37"/>
    <x v="3"/>
  </r>
  <r>
    <x v="200"/>
    <x v="2"/>
    <x v="1"/>
    <x v="1"/>
    <x v="0"/>
    <n v="80"/>
    <x v="2"/>
    <s v="Elderly"/>
    <x v="2"/>
    <n v="861"/>
    <x v="3"/>
    <x v="4"/>
    <x v="2"/>
    <x v="34"/>
    <x v="0"/>
  </r>
  <r>
    <x v="201"/>
    <x v="3"/>
    <x v="1"/>
    <x v="5"/>
    <x v="1"/>
    <n v="81"/>
    <x v="2"/>
    <s v="Elderly"/>
    <x v="2"/>
    <n v="820"/>
    <x v="3"/>
    <x v="6"/>
    <x v="2"/>
    <x v="50"/>
    <x v="3"/>
  </r>
  <r>
    <x v="202"/>
    <x v="1"/>
    <x v="2"/>
    <x v="2"/>
    <x v="1"/>
    <n v="60"/>
    <x v="4"/>
    <s v="Middle Age"/>
    <x v="4"/>
    <n v="4702"/>
    <x v="1"/>
    <x v="6"/>
    <x v="2"/>
    <x v="19"/>
    <x v="1"/>
  </r>
  <r>
    <x v="203"/>
    <x v="5"/>
    <x v="2"/>
    <x v="5"/>
    <x v="0"/>
    <n v="12"/>
    <x v="1"/>
    <s v="Child"/>
    <x v="3"/>
    <n v="6038"/>
    <x v="1"/>
    <x v="11"/>
    <x v="4"/>
    <x v="4"/>
    <x v="1"/>
  </r>
  <r>
    <x v="204"/>
    <x v="4"/>
    <x v="0"/>
    <x v="6"/>
    <x v="0"/>
    <n v="74"/>
    <x v="5"/>
    <s v="Elderly"/>
    <x v="2"/>
    <n v="15679"/>
    <x v="2"/>
    <x v="1"/>
    <x v="0"/>
    <x v="34"/>
    <x v="0"/>
  </r>
  <r>
    <x v="205"/>
    <x v="2"/>
    <x v="1"/>
    <x v="2"/>
    <x v="1"/>
    <n v="8"/>
    <x v="1"/>
    <s v="Child"/>
    <x v="3"/>
    <n v="1122"/>
    <x v="3"/>
    <x v="3"/>
    <x v="2"/>
    <x v="47"/>
    <x v="0"/>
  </r>
  <r>
    <x v="206"/>
    <x v="0"/>
    <x v="0"/>
    <x v="2"/>
    <x v="0"/>
    <n v="6"/>
    <x v="1"/>
    <s v="Child"/>
    <x v="3"/>
    <n v="9059"/>
    <x v="0"/>
    <x v="14"/>
    <x v="4"/>
    <x v="36"/>
    <x v="1"/>
  </r>
  <r>
    <x v="207"/>
    <x v="2"/>
    <x v="3"/>
    <x v="4"/>
    <x v="1"/>
    <n v="37"/>
    <x v="3"/>
    <s v="Adult"/>
    <x v="0"/>
    <n v="3673"/>
    <x v="1"/>
    <x v="8"/>
    <x v="3"/>
    <x v="15"/>
    <x v="3"/>
  </r>
  <r>
    <x v="208"/>
    <x v="5"/>
    <x v="0"/>
    <x v="4"/>
    <x v="1"/>
    <n v="13"/>
    <x v="6"/>
    <s v="Teenager"/>
    <x v="6"/>
    <n v="14141"/>
    <x v="4"/>
    <x v="9"/>
    <x v="1"/>
    <x v="4"/>
    <x v="2"/>
  </r>
  <r>
    <x v="209"/>
    <x v="5"/>
    <x v="2"/>
    <x v="1"/>
    <x v="0"/>
    <n v="43"/>
    <x v="3"/>
    <s v="Adult"/>
    <x v="0"/>
    <n v="1667"/>
    <x v="3"/>
    <x v="8"/>
    <x v="3"/>
    <x v="8"/>
    <x v="0"/>
  </r>
  <r>
    <x v="210"/>
    <x v="5"/>
    <x v="1"/>
    <x v="7"/>
    <x v="0"/>
    <n v="11"/>
    <x v="1"/>
    <s v="Child"/>
    <x v="3"/>
    <n v="834"/>
    <x v="3"/>
    <x v="4"/>
    <x v="2"/>
    <x v="4"/>
    <x v="0"/>
  </r>
  <r>
    <x v="211"/>
    <x v="0"/>
    <x v="2"/>
    <x v="7"/>
    <x v="0"/>
    <n v="88"/>
    <x v="2"/>
    <s v="Elderly"/>
    <x v="2"/>
    <n v="5312"/>
    <x v="1"/>
    <x v="4"/>
    <x v="2"/>
    <x v="24"/>
    <x v="3"/>
  </r>
  <r>
    <x v="212"/>
    <x v="0"/>
    <x v="1"/>
    <x v="2"/>
    <x v="1"/>
    <n v="47"/>
    <x v="3"/>
    <s v="Middle Age"/>
    <x v="4"/>
    <n v="832"/>
    <x v="3"/>
    <x v="3"/>
    <x v="2"/>
    <x v="40"/>
    <x v="1"/>
  </r>
  <r>
    <x v="213"/>
    <x v="5"/>
    <x v="1"/>
    <x v="9"/>
    <x v="1"/>
    <n v="18"/>
    <x v="6"/>
    <s v="Teenager"/>
    <x v="6"/>
    <n v="517"/>
    <x v="3"/>
    <x v="3"/>
    <x v="2"/>
    <x v="42"/>
    <x v="1"/>
  </r>
  <r>
    <x v="214"/>
    <x v="6"/>
    <x v="0"/>
    <x v="2"/>
    <x v="0"/>
    <n v="68"/>
    <x v="5"/>
    <s v="Elderly"/>
    <x v="2"/>
    <n v="5618"/>
    <x v="1"/>
    <x v="9"/>
    <x v="1"/>
    <x v="47"/>
    <x v="2"/>
  </r>
  <r>
    <x v="215"/>
    <x v="6"/>
    <x v="3"/>
    <x v="1"/>
    <x v="1"/>
    <n v="21"/>
    <x v="0"/>
    <s v="Youth"/>
    <x v="5"/>
    <n v="1981"/>
    <x v="3"/>
    <x v="7"/>
    <x v="3"/>
    <x v="9"/>
    <x v="1"/>
  </r>
  <r>
    <x v="216"/>
    <x v="0"/>
    <x v="1"/>
    <x v="0"/>
    <x v="1"/>
    <n v="87"/>
    <x v="2"/>
    <s v="Elderly"/>
    <x v="2"/>
    <n v="1673"/>
    <x v="3"/>
    <x v="3"/>
    <x v="2"/>
    <x v="36"/>
    <x v="0"/>
  </r>
  <r>
    <x v="217"/>
    <x v="2"/>
    <x v="2"/>
    <x v="6"/>
    <x v="1"/>
    <n v="31"/>
    <x v="0"/>
    <s v="Adult"/>
    <x v="0"/>
    <n v="3535"/>
    <x v="1"/>
    <x v="5"/>
    <x v="0"/>
    <x v="49"/>
    <x v="1"/>
  </r>
  <r>
    <x v="218"/>
    <x v="5"/>
    <x v="1"/>
    <x v="6"/>
    <x v="0"/>
    <n v="49"/>
    <x v="3"/>
    <s v="Middle Age"/>
    <x v="4"/>
    <n v="1229"/>
    <x v="3"/>
    <x v="4"/>
    <x v="2"/>
    <x v="2"/>
    <x v="0"/>
  </r>
  <r>
    <x v="219"/>
    <x v="3"/>
    <x v="3"/>
    <x v="1"/>
    <x v="1"/>
    <n v="33"/>
    <x v="0"/>
    <s v="Adult"/>
    <x v="0"/>
    <n v="927"/>
    <x v="3"/>
    <x v="8"/>
    <x v="3"/>
    <x v="48"/>
    <x v="0"/>
  </r>
  <r>
    <x v="220"/>
    <x v="2"/>
    <x v="0"/>
    <x v="2"/>
    <x v="0"/>
    <n v="37"/>
    <x v="3"/>
    <s v="Adult"/>
    <x v="0"/>
    <n v="6374"/>
    <x v="1"/>
    <x v="0"/>
    <x v="0"/>
    <x v="10"/>
    <x v="1"/>
  </r>
  <r>
    <x v="221"/>
    <x v="4"/>
    <x v="3"/>
    <x v="8"/>
    <x v="1"/>
    <n v="29"/>
    <x v="0"/>
    <s v="Youth"/>
    <x v="5"/>
    <n v="4195"/>
    <x v="1"/>
    <x v="4"/>
    <x v="2"/>
    <x v="38"/>
    <x v="1"/>
  </r>
  <r>
    <x v="222"/>
    <x v="4"/>
    <x v="0"/>
    <x v="8"/>
    <x v="0"/>
    <n v="31"/>
    <x v="0"/>
    <s v="Adult"/>
    <x v="0"/>
    <n v="11326"/>
    <x v="4"/>
    <x v="10"/>
    <x v="3"/>
    <x v="48"/>
    <x v="0"/>
  </r>
  <r>
    <x v="223"/>
    <x v="3"/>
    <x v="0"/>
    <x v="4"/>
    <x v="0"/>
    <n v="84"/>
    <x v="2"/>
    <s v="Elderly"/>
    <x v="2"/>
    <n v="10493"/>
    <x v="0"/>
    <x v="0"/>
    <x v="0"/>
    <x v="29"/>
    <x v="1"/>
  </r>
  <r>
    <x v="224"/>
    <x v="1"/>
    <x v="2"/>
    <x v="6"/>
    <x v="0"/>
    <n v="18"/>
    <x v="6"/>
    <s v="Teenager"/>
    <x v="6"/>
    <n v="6779"/>
    <x v="1"/>
    <x v="5"/>
    <x v="0"/>
    <x v="36"/>
    <x v="0"/>
  </r>
  <r>
    <x v="225"/>
    <x v="2"/>
    <x v="0"/>
    <x v="5"/>
    <x v="1"/>
    <n v="28"/>
    <x v="0"/>
    <s v="Youth"/>
    <x v="5"/>
    <n v="18680"/>
    <x v="2"/>
    <x v="0"/>
    <x v="0"/>
    <x v="14"/>
    <x v="0"/>
  </r>
  <r>
    <x v="226"/>
    <x v="0"/>
    <x v="1"/>
    <x v="5"/>
    <x v="0"/>
    <n v="31"/>
    <x v="0"/>
    <s v="Adult"/>
    <x v="0"/>
    <n v="816"/>
    <x v="3"/>
    <x v="3"/>
    <x v="2"/>
    <x v="19"/>
    <x v="1"/>
  </r>
  <r>
    <x v="227"/>
    <x v="3"/>
    <x v="1"/>
    <x v="1"/>
    <x v="1"/>
    <n v="15"/>
    <x v="6"/>
    <s v="Teenager"/>
    <x v="6"/>
    <n v="1913"/>
    <x v="3"/>
    <x v="6"/>
    <x v="2"/>
    <x v="20"/>
    <x v="3"/>
  </r>
  <r>
    <x v="228"/>
    <x v="2"/>
    <x v="0"/>
    <x v="2"/>
    <x v="0"/>
    <n v="19"/>
    <x v="6"/>
    <s v="Teenager"/>
    <x v="6"/>
    <n v="9772"/>
    <x v="0"/>
    <x v="12"/>
    <x v="4"/>
    <x v="18"/>
    <x v="1"/>
  </r>
  <r>
    <x v="229"/>
    <x v="2"/>
    <x v="2"/>
    <x v="9"/>
    <x v="0"/>
    <n v="24"/>
    <x v="0"/>
    <s v="Youth"/>
    <x v="5"/>
    <n v="6442"/>
    <x v="1"/>
    <x v="4"/>
    <x v="2"/>
    <x v="41"/>
    <x v="0"/>
  </r>
  <r>
    <x v="230"/>
    <x v="5"/>
    <x v="0"/>
    <x v="2"/>
    <x v="0"/>
    <n v="65"/>
    <x v="5"/>
    <s v="Elderly"/>
    <x v="2"/>
    <n v="14079"/>
    <x v="4"/>
    <x v="7"/>
    <x v="3"/>
    <x v="4"/>
    <x v="0"/>
  </r>
  <r>
    <x v="231"/>
    <x v="6"/>
    <x v="1"/>
    <x v="0"/>
    <x v="0"/>
    <n v="48"/>
    <x v="3"/>
    <s v="Middle Age"/>
    <x v="4"/>
    <n v="719"/>
    <x v="3"/>
    <x v="4"/>
    <x v="2"/>
    <x v="38"/>
    <x v="1"/>
  </r>
  <r>
    <x v="232"/>
    <x v="5"/>
    <x v="0"/>
    <x v="4"/>
    <x v="1"/>
    <n v="85"/>
    <x v="2"/>
    <s v="Elderly"/>
    <x v="2"/>
    <n v="15293"/>
    <x v="2"/>
    <x v="10"/>
    <x v="3"/>
    <x v="15"/>
    <x v="0"/>
  </r>
  <r>
    <x v="233"/>
    <x v="2"/>
    <x v="2"/>
    <x v="7"/>
    <x v="1"/>
    <n v="70"/>
    <x v="5"/>
    <s v="Elderly"/>
    <x v="2"/>
    <n v="3773"/>
    <x v="1"/>
    <x v="8"/>
    <x v="3"/>
    <x v="15"/>
    <x v="3"/>
  </r>
  <r>
    <x v="234"/>
    <x v="0"/>
    <x v="1"/>
    <x v="6"/>
    <x v="0"/>
    <n v="18"/>
    <x v="6"/>
    <s v="Teenager"/>
    <x v="6"/>
    <n v="329"/>
    <x v="3"/>
    <x v="4"/>
    <x v="2"/>
    <x v="15"/>
    <x v="3"/>
  </r>
  <r>
    <x v="235"/>
    <x v="4"/>
    <x v="0"/>
    <x v="3"/>
    <x v="1"/>
    <n v="26"/>
    <x v="0"/>
    <s v="Youth"/>
    <x v="5"/>
    <n v="19512"/>
    <x v="2"/>
    <x v="7"/>
    <x v="3"/>
    <x v="34"/>
    <x v="0"/>
  </r>
  <r>
    <x v="236"/>
    <x v="5"/>
    <x v="1"/>
    <x v="2"/>
    <x v="1"/>
    <n v="5"/>
    <x v="1"/>
    <s v="Infant"/>
    <x v="1"/>
    <n v="1742"/>
    <x v="3"/>
    <x v="4"/>
    <x v="2"/>
    <x v="49"/>
    <x v="1"/>
  </r>
  <r>
    <x v="237"/>
    <x v="5"/>
    <x v="2"/>
    <x v="0"/>
    <x v="0"/>
    <n v="43"/>
    <x v="3"/>
    <s v="Adult"/>
    <x v="0"/>
    <n v="3238"/>
    <x v="1"/>
    <x v="4"/>
    <x v="2"/>
    <x v="48"/>
    <x v="0"/>
  </r>
  <r>
    <x v="238"/>
    <x v="4"/>
    <x v="1"/>
    <x v="6"/>
    <x v="0"/>
    <n v="50"/>
    <x v="4"/>
    <s v="Middle Age"/>
    <x v="4"/>
    <n v="894"/>
    <x v="3"/>
    <x v="3"/>
    <x v="2"/>
    <x v="12"/>
    <x v="0"/>
  </r>
  <r>
    <x v="239"/>
    <x v="0"/>
    <x v="1"/>
    <x v="4"/>
    <x v="0"/>
    <n v="67"/>
    <x v="5"/>
    <s v="Elderly"/>
    <x v="2"/>
    <n v="746"/>
    <x v="3"/>
    <x v="3"/>
    <x v="2"/>
    <x v="16"/>
    <x v="3"/>
  </r>
  <r>
    <x v="240"/>
    <x v="4"/>
    <x v="0"/>
    <x v="8"/>
    <x v="0"/>
    <n v="24"/>
    <x v="0"/>
    <s v="Youth"/>
    <x v="5"/>
    <n v="13937"/>
    <x v="4"/>
    <x v="5"/>
    <x v="0"/>
    <x v="34"/>
    <x v="0"/>
  </r>
  <r>
    <x v="241"/>
    <x v="1"/>
    <x v="0"/>
    <x v="4"/>
    <x v="0"/>
    <n v="40"/>
    <x v="3"/>
    <s v="Adult"/>
    <x v="0"/>
    <n v="12305"/>
    <x v="4"/>
    <x v="13"/>
    <x v="1"/>
    <x v="28"/>
    <x v="2"/>
  </r>
  <r>
    <x v="242"/>
    <x v="4"/>
    <x v="3"/>
    <x v="6"/>
    <x v="1"/>
    <n v="6"/>
    <x v="1"/>
    <s v="Child"/>
    <x v="3"/>
    <n v="3388"/>
    <x v="1"/>
    <x v="7"/>
    <x v="3"/>
    <x v="13"/>
    <x v="0"/>
  </r>
  <r>
    <x v="243"/>
    <x v="5"/>
    <x v="0"/>
    <x v="5"/>
    <x v="0"/>
    <n v="52"/>
    <x v="4"/>
    <s v="Middle Age"/>
    <x v="4"/>
    <n v="10952"/>
    <x v="0"/>
    <x v="2"/>
    <x v="1"/>
    <x v="0"/>
    <x v="2"/>
  </r>
  <r>
    <x v="244"/>
    <x v="0"/>
    <x v="3"/>
    <x v="0"/>
    <x v="1"/>
    <n v="78"/>
    <x v="5"/>
    <s v="Elderly"/>
    <x v="2"/>
    <n v="4089"/>
    <x v="1"/>
    <x v="3"/>
    <x v="2"/>
    <x v="29"/>
    <x v="1"/>
  </r>
  <r>
    <x v="245"/>
    <x v="1"/>
    <x v="3"/>
    <x v="4"/>
    <x v="1"/>
    <n v="73"/>
    <x v="5"/>
    <s v="Elderly"/>
    <x v="2"/>
    <n v="765"/>
    <x v="3"/>
    <x v="7"/>
    <x v="3"/>
    <x v="44"/>
    <x v="1"/>
  </r>
  <r>
    <x v="246"/>
    <x v="0"/>
    <x v="1"/>
    <x v="4"/>
    <x v="1"/>
    <n v="10"/>
    <x v="1"/>
    <s v="Child"/>
    <x v="3"/>
    <n v="1375"/>
    <x v="3"/>
    <x v="3"/>
    <x v="2"/>
    <x v="41"/>
    <x v="0"/>
  </r>
  <r>
    <x v="247"/>
    <x v="5"/>
    <x v="1"/>
    <x v="4"/>
    <x v="0"/>
    <n v="32"/>
    <x v="0"/>
    <s v="Adult"/>
    <x v="0"/>
    <n v="432"/>
    <x v="3"/>
    <x v="3"/>
    <x v="2"/>
    <x v="0"/>
    <x v="3"/>
  </r>
  <r>
    <x v="248"/>
    <x v="3"/>
    <x v="1"/>
    <x v="2"/>
    <x v="1"/>
    <n v="72"/>
    <x v="5"/>
    <s v="Elderly"/>
    <x v="2"/>
    <n v="441"/>
    <x v="3"/>
    <x v="6"/>
    <x v="2"/>
    <x v="15"/>
    <x v="3"/>
  </r>
  <r>
    <x v="249"/>
    <x v="5"/>
    <x v="1"/>
    <x v="9"/>
    <x v="2"/>
    <n v="37"/>
    <x v="3"/>
    <s v="Adult"/>
    <x v="0"/>
    <n v="1621"/>
    <x v="3"/>
    <x v="6"/>
    <x v="2"/>
    <x v="49"/>
    <x v="1"/>
  </r>
  <r>
    <x v="250"/>
    <x v="1"/>
    <x v="3"/>
    <x v="5"/>
    <x v="1"/>
    <n v="57"/>
    <x v="4"/>
    <s v="Middle Age"/>
    <x v="4"/>
    <n v="1219"/>
    <x v="3"/>
    <x v="4"/>
    <x v="2"/>
    <x v="25"/>
    <x v="3"/>
  </r>
  <r>
    <x v="251"/>
    <x v="5"/>
    <x v="0"/>
    <x v="2"/>
    <x v="0"/>
    <n v="39"/>
    <x v="3"/>
    <s v="Adult"/>
    <x v="0"/>
    <n v="18948"/>
    <x v="2"/>
    <x v="0"/>
    <x v="0"/>
    <x v="28"/>
    <x v="0"/>
  </r>
  <r>
    <x v="252"/>
    <x v="0"/>
    <x v="3"/>
    <x v="4"/>
    <x v="0"/>
    <n v="16"/>
    <x v="6"/>
    <s v="Teenager"/>
    <x v="6"/>
    <n v="2146"/>
    <x v="3"/>
    <x v="6"/>
    <x v="2"/>
    <x v="22"/>
    <x v="1"/>
  </r>
  <r>
    <x v="253"/>
    <x v="6"/>
    <x v="1"/>
    <x v="0"/>
    <x v="1"/>
    <n v="74"/>
    <x v="5"/>
    <s v="Elderly"/>
    <x v="2"/>
    <n v="955"/>
    <x v="3"/>
    <x v="6"/>
    <x v="2"/>
    <x v="14"/>
    <x v="3"/>
  </r>
  <r>
    <x v="254"/>
    <x v="3"/>
    <x v="0"/>
    <x v="5"/>
    <x v="1"/>
    <n v="62"/>
    <x v="4"/>
    <s v="Elderly"/>
    <x v="2"/>
    <n v="13612"/>
    <x v="4"/>
    <x v="12"/>
    <x v="4"/>
    <x v="15"/>
    <x v="1"/>
  </r>
  <r>
    <x v="255"/>
    <x v="4"/>
    <x v="0"/>
    <x v="7"/>
    <x v="0"/>
    <n v="83"/>
    <x v="2"/>
    <s v="Elderly"/>
    <x v="2"/>
    <n v="6215"/>
    <x v="1"/>
    <x v="14"/>
    <x v="4"/>
    <x v="23"/>
    <x v="1"/>
  </r>
  <r>
    <x v="256"/>
    <x v="0"/>
    <x v="2"/>
    <x v="7"/>
    <x v="0"/>
    <n v="71"/>
    <x v="5"/>
    <s v="Elderly"/>
    <x v="2"/>
    <n v="6241"/>
    <x v="1"/>
    <x v="8"/>
    <x v="3"/>
    <x v="15"/>
    <x v="3"/>
  </r>
  <r>
    <x v="257"/>
    <x v="3"/>
    <x v="1"/>
    <x v="2"/>
    <x v="0"/>
    <n v="8"/>
    <x v="1"/>
    <s v="Child"/>
    <x v="3"/>
    <n v="1902"/>
    <x v="3"/>
    <x v="3"/>
    <x v="2"/>
    <x v="41"/>
    <x v="0"/>
  </r>
  <r>
    <x v="258"/>
    <x v="3"/>
    <x v="2"/>
    <x v="7"/>
    <x v="1"/>
    <n v="29"/>
    <x v="0"/>
    <s v="Youth"/>
    <x v="5"/>
    <n v="3834"/>
    <x v="1"/>
    <x v="11"/>
    <x v="4"/>
    <x v="42"/>
    <x v="1"/>
  </r>
  <r>
    <x v="259"/>
    <x v="6"/>
    <x v="0"/>
    <x v="3"/>
    <x v="1"/>
    <n v="71"/>
    <x v="5"/>
    <s v="Elderly"/>
    <x v="2"/>
    <n v="9496"/>
    <x v="0"/>
    <x v="0"/>
    <x v="0"/>
    <x v="17"/>
    <x v="0"/>
  </r>
  <r>
    <x v="260"/>
    <x v="5"/>
    <x v="0"/>
    <x v="2"/>
    <x v="0"/>
    <n v="76"/>
    <x v="5"/>
    <s v="Elderly"/>
    <x v="2"/>
    <n v="14513"/>
    <x v="4"/>
    <x v="0"/>
    <x v="0"/>
    <x v="9"/>
    <x v="1"/>
  </r>
  <r>
    <x v="261"/>
    <x v="0"/>
    <x v="2"/>
    <x v="1"/>
    <x v="1"/>
    <n v="4"/>
    <x v="1"/>
    <s v="Infant"/>
    <x v="1"/>
    <n v="1665"/>
    <x v="3"/>
    <x v="6"/>
    <x v="2"/>
    <x v="24"/>
    <x v="3"/>
  </r>
  <r>
    <x v="262"/>
    <x v="6"/>
    <x v="2"/>
    <x v="9"/>
    <x v="0"/>
    <n v="54"/>
    <x v="4"/>
    <s v="Middle Age"/>
    <x v="4"/>
    <n v="6063"/>
    <x v="1"/>
    <x v="6"/>
    <x v="2"/>
    <x v="12"/>
    <x v="0"/>
  </r>
  <r>
    <x v="263"/>
    <x v="0"/>
    <x v="2"/>
    <x v="3"/>
    <x v="1"/>
    <n v="88"/>
    <x v="2"/>
    <s v="Elderly"/>
    <x v="2"/>
    <n v="4326"/>
    <x v="1"/>
    <x v="10"/>
    <x v="3"/>
    <x v="23"/>
    <x v="0"/>
  </r>
  <r>
    <x v="264"/>
    <x v="1"/>
    <x v="0"/>
    <x v="7"/>
    <x v="1"/>
    <n v="62"/>
    <x v="4"/>
    <s v="Elderly"/>
    <x v="2"/>
    <n v="12609"/>
    <x v="4"/>
    <x v="1"/>
    <x v="0"/>
    <x v="47"/>
    <x v="0"/>
  </r>
  <r>
    <x v="265"/>
    <x v="2"/>
    <x v="3"/>
    <x v="4"/>
    <x v="0"/>
    <n v="41"/>
    <x v="3"/>
    <s v="Adult"/>
    <x v="0"/>
    <n v="3329"/>
    <x v="1"/>
    <x v="8"/>
    <x v="3"/>
    <x v="29"/>
    <x v="1"/>
  </r>
  <r>
    <x v="266"/>
    <x v="6"/>
    <x v="2"/>
    <x v="2"/>
    <x v="0"/>
    <n v="41"/>
    <x v="3"/>
    <s v="Adult"/>
    <x v="0"/>
    <n v="2980"/>
    <x v="3"/>
    <x v="5"/>
    <x v="0"/>
    <x v="45"/>
    <x v="1"/>
  </r>
  <r>
    <x v="267"/>
    <x v="5"/>
    <x v="1"/>
    <x v="9"/>
    <x v="1"/>
    <n v="7"/>
    <x v="1"/>
    <s v="Child"/>
    <x v="3"/>
    <n v="794"/>
    <x v="3"/>
    <x v="6"/>
    <x v="2"/>
    <x v="26"/>
    <x v="3"/>
  </r>
  <r>
    <x v="268"/>
    <x v="4"/>
    <x v="3"/>
    <x v="7"/>
    <x v="0"/>
    <n v="74"/>
    <x v="5"/>
    <s v="Elderly"/>
    <x v="2"/>
    <n v="3061"/>
    <x v="1"/>
    <x v="6"/>
    <x v="2"/>
    <x v="37"/>
    <x v="3"/>
  </r>
  <r>
    <x v="269"/>
    <x v="3"/>
    <x v="1"/>
    <x v="2"/>
    <x v="1"/>
    <n v="40"/>
    <x v="3"/>
    <s v="Adult"/>
    <x v="0"/>
    <n v="1218"/>
    <x v="3"/>
    <x v="3"/>
    <x v="2"/>
    <x v="46"/>
    <x v="1"/>
  </r>
  <r>
    <x v="270"/>
    <x v="4"/>
    <x v="1"/>
    <x v="9"/>
    <x v="1"/>
    <n v="46"/>
    <x v="3"/>
    <s v="Middle Age"/>
    <x v="4"/>
    <n v="299"/>
    <x v="3"/>
    <x v="3"/>
    <x v="2"/>
    <x v="42"/>
    <x v="1"/>
  </r>
  <r>
    <x v="271"/>
    <x v="4"/>
    <x v="1"/>
    <x v="3"/>
    <x v="0"/>
    <n v="14"/>
    <x v="6"/>
    <s v="Teenager"/>
    <x v="6"/>
    <n v="1082"/>
    <x v="3"/>
    <x v="3"/>
    <x v="2"/>
    <x v="27"/>
    <x v="1"/>
  </r>
  <r>
    <x v="272"/>
    <x v="0"/>
    <x v="2"/>
    <x v="8"/>
    <x v="1"/>
    <n v="52"/>
    <x v="4"/>
    <s v="Middle Age"/>
    <x v="4"/>
    <n v="1419"/>
    <x v="3"/>
    <x v="11"/>
    <x v="4"/>
    <x v="49"/>
    <x v="1"/>
  </r>
  <r>
    <x v="273"/>
    <x v="5"/>
    <x v="2"/>
    <x v="5"/>
    <x v="1"/>
    <n v="58"/>
    <x v="4"/>
    <s v="Middle Age"/>
    <x v="4"/>
    <n v="5504"/>
    <x v="1"/>
    <x v="10"/>
    <x v="3"/>
    <x v="26"/>
    <x v="0"/>
  </r>
  <r>
    <x v="274"/>
    <x v="0"/>
    <x v="0"/>
    <x v="7"/>
    <x v="0"/>
    <n v="51"/>
    <x v="4"/>
    <s v="Middle Age"/>
    <x v="4"/>
    <n v="11114"/>
    <x v="4"/>
    <x v="11"/>
    <x v="4"/>
    <x v="14"/>
    <x v="1"/>
  </r>
  <r>
    <x v="275"/>
    <x v="5"/>
    <x v="3"/>
    <x v="9"/>
    <x v="0"/>
    <n v="52"/>
    <x v="4"/>
    <s v="Middle Age"/>
    <x v="4"/>
    <n v="4596"/>
    <x v="1"/>
    <x v="3"/>
    <x v="2"/>
    <x v="32"/>
    <x v="1"/>
  </r>
  <r>
    <x v="276"/>
    <x v="1"/>
    <x v="3"/>
    <x v="4"/>
    <x v="0"/>
    <n v="67"/>
    <x v="5"/>
    <s v="Elderly"/>
    <x v="2"/>
    <n v="4243"/>
    <x v="1"/>
    <x v="6"/>
    <x v="2"/>
    <x v="20"/>
    <x v="3"/>
  </r>
  <r>
    <x v="277"/>
    <x v="2"/>
    <x v="3"/>
    <x v="4"/>
    <x v="0"/>
    <n v="41"/>
    <x v="3"/>
    <s v="Adult"/>
    <x v="0"/>
    <n v="1831"/>
    <x v="3"/>
    <x v="8"/>
    <x v="3"/>
    <x v="26"/>
    <x v="3"/>
  </r>
  <r>
    <x v="278"/>
    <x v="0"/>
    <x v="2"/>
    <x v="1"/>
    <x v="1"/>
    <n v="66"/>
    <x v="5"/>
    <s v="Elderly"/>
    <x v="2"/>
    <n v="5360"/>
    <x v="1"/>
    <x v="5"/>
    <x v="0"/>
    <x v="28"/>
    <x v="0"/>
  </r>
  <r>
    <x v="279"/>
    <x v="2"/>
    <x v="2"/>
    <x v="6"/>
    <x v="0"/>
    <n v="48"/>
    <x v="3"/>
    <s v="Middle Age"/>
    <x v="4"/>
    <n v="3713"/>
    <x v="1"/>
    <x v="4"/>
    <x v="2"/>
    <x v="2"/>
    <x v="0"/>
  </r>
  <r>
    <x v="280"/>
    <x v="2"/>
    <x v="2"/>
    <x v="0"/>
    <x v="0"/>
    <n v="34"/>
    <x v="0"/>
    <s v="Adult"/>
    <x v="0"/>
    <n v="6370"/>
    <x v="1"/>
    <x v="7"/>
    <x v="3"/>
    <x v="16"/>
    <x v="3"/>
  </r>
  <r>
    <x v="281"/>
    <x v="1"/>
    <x v="1"/>
    <x v="7"/>
    <x v="0"/>
    <n v="80"/>
    <x v="2"/>
    <s v="Elderly"/>
    <x v="2"/>
    <n v="1786"/>
    <x v="3"/>
    <x v="6"/>
    <x v="2"/>
    <x v="44"/>
    <x v="1"/>
  </r>
  <r>
    <x v="282"/>
    <x v="6"/>
    <x v="3"/>
    <x v="0"/>
    <x v="0"/>
    <n v="90"/>
    <x v="2"/>
    <s v="Elderly"/>
    <x v="2"/>
    <n v="1400"/>
    <x v="3"/>
    <x v="6"/>
    <x v="2"/>
    <x v="38"/>
    <x v="1"/>
  </r>
  <r>
    <x v="283"/>
    <x v="4"/>
    <x v="2"/>
    <x v="8"/>
    <x v="1"/>
    <n v="89"/>
    <x v="2"/>
    <s v="Elderly"/>
    <x v="2"/>
    <n v="2670"/>
    <x v="3"/>
    <x v="1"/>
    <x v="0"/>
    <x v="33"/>
    <x v="0"/>
  </r>
  <r>
    <x v="284"/>
    <x v="6"/>
    <x v="1"/>
    <x v="0"/>
    <x v="0"/>
    <n v="67"/>
    <x v="5"/>
    <s v="Elderly"/>
    <x v="2"/>
    <n v="624"/>
    <x v="3"/>
    <x v="4"/>
    <x v="2"/>
    <x v="34"/>
    <x v="0"/>
  </r>
  <r>
    <x v="285"/>
    <x v="0"/>
    <x v="1"/>
    <x v="2"/>
    <x v="1"/>
    <n v="23"/>
    <x v="0"/>
    <s v="Youth"/>
    <x v="5"/>
    <n v="1141"/>
    <x v="3"/>
    <x v="4"/>
    <x v="2"/>
    <x v="47"/>
    <x v="0"/>
  </r>
  <r>
    <x v="286"/>
    <x v="2"/>
    <x v="2"/>
    <x v="3"/>
    <x v="0"/>
    <n v="25"/>
    <x v="0"/>
    <s v="Youth"/>
    <x v="5"/>
    <n v="3019"/>
    <x v="1"/>
    <x v="10"/>
    <x v="3"/>
    <x v="14"/>
    <x v="0"/>
  </r>
  <r>
    <x v="287"/>
    <x v="5"/>
    <x v="3"/>
    <x v="3"/>
    <x v="0"/>
    <n v="27"/>
    <x v="0"/>
    <s v="Youth"/>
    <x v="5"/>
    <n v="4505"/>
    <x v="1"/>
    <x v="4"/>
    <x v="2"/>
    <x v="43"/>
    <x v="0"/>
  </r>
  <r>
    <x v="288"/>
    <x v="5"/>
    <x v="2"/>
    <x v="3"/>
    <x v="1"/>
    <n v="87"/>
    <x v="2"/>
    <s v="Elderly"/>
    <x v="2"/>
    <n v="5449"/>
    <x v="1"/>
    <x v="1"/>
    <x v="0"/>
    <x v="11"/>
    <x v="0"/>
  </r>
  <r>
    <x v="289"/>
    <x v="6"/>
    <x v="2"/>
    <x v="7"/>
    <x v="1"/>
    <n v="37"/>
    <x v="3"/>
    <s v="Adult"/>
    <x v="0"/>
    <n v="6850"/>
    <x v="1"/>
    <x v="4"/>
    <x v="2"/>
    <x v="8"/>
    <x v="0"/>
  </r>
  <r>
    <x v="290"/>
    <x v="4"/>
    <x v="2"/>
    <x v="6"/>
    <x v="1"/>
    <n v="69"/>
    <x v="5"/>
    <s v="Elderly"/>
    <x v="2"/>
    <n v="3221"/>
    <x v="1"/>
    <x v="11"/>
    <x v="4"/>
    <x v="3"/>
    <x v="1"/>
  </r>
  <r>
    <x v="291"/>
    <x v="5"/>
    <x v="3"/>
    <x v="5"/>
    <x v="0"/>
    <n v="76"/>
    <x v="5"/>
    <s v="Elderly"/>
    <x v="2"/>
    <n v="2460"/>
    <x v="3"/>
    <x v="6"/>
    <x v="2"/>
    <x v="19"/>
    <x v="1"/>
  </r>
  <r>
    <x v="292"/>
    <x v="0"/>
    <x v="3"/>
    <x v="9"/>
    <x v="1"/>
    <n v="53"/>
    <x v="4"/>
    <s v="Middle Age"/>
    <x v="4"/>
    <n v="3205"/>
    <x v="1"/>
    <x v="8"/>
    <x v="3"/>
    <x v="7"/>
    <x v="1"/>
  </r>
  <r>
    <x v="293"/>
    <x v="0"/>
    <x v="3"/>
    <x v="0"/>
    <x v="0"/>
    <n v="21"/>
    <x v="0"/>
    <s v="Youth"/>
    <x v="5"/>
    <n v="3833"/>
    <x v="1"/>
    <x v="8"/>
    <x v="3"/>
    <x v="43"/>
    <x v="0"/>
  </r>
  <r>
    <x v="294"/>
    <x v="0"/>
    <x v="3"/>
    <x v="3"/>
    <x v="1"/>
    <n v="83"/>
    <x v="2"/>
    <s v="Elderly"/>
    <x v="2"/>
    <n v="984"/>
    <x v="3"/>
    <x v="3"/>
    <x v="2"/>
    <x v="24"/>
    <x v="3"/>
  </r>
  <r>
    <x v="295"/>
    <x v="2"/>
    <x v="3"/>
    <x v="2"/>
    <x v="0"/>
    <n v="5"/>
    <x v="1"/>
    <s v="Infant"/>
    <x v="1"/>
    <n v="1934"/>
    <x v="3"/>
    <x v="8"/>
    <x v="3"/>
    <x v="39"/>
    <x v="1"/>
  </r>
  <r>
    <x v="296"/>
    <x v="1"/>
    <x v="1"/>
    <x v="6"/>
    <x v="1"/>
    <n v="38"/>
    <x v="3"/>
    <s v="Adult"/>
    <x v="0"/>
    <n v="1995"/>
    <x v="3"/>
    <x v="3"/>
    <x v="2"/>
    <x v="18"/>
    <x v="1"/>
  </r>
  <r>
    <x v="297"/>
    <x v="5"/>
    <x v="0"/>
    <x v="4"/>
    <x v="1"/>
    <n v="83"/>
    <x v="2"/>
    <s v="Elderly"/>
    <x v="2"/>
    <n v="13901"/>
    <x v="4"/>
    <x v="2"/>
    <x v="1"/>
    <x v="12"/>
    <x v="2"/>
  </r>
  <r>
    <x v="298"/>
    <x v="3"/>
    <x v="1"/>
    <x v="3"/>
    <x v="1"/>
    <n v="15"/>
    <x v="6"/>
    <s v="Teenager"/>
    <x v="6"/>
    <n v="877"/>
    <x v="3"/>
    <x v="3"/>
    <x v="2"/>
    <x v="16"/>
    <x v="3"/>
  </r>
  <r>
    <x v="299"/>
    <x v="4"/>
    <x v="2"/>
    <x v="7"/>
    <x v="1"/>
    <n v="44"/>
    <x v="3"/>
    <s v="Adult"/>
    <x v="0"/>
    <n v="3416"/>
    <x v="1"/>
    <x v="7"/>
    <x v="3"/>
    <x v="39"/>
    <x v="1"/>
  </r>
  <r>
    <x v="300"/>
    <x v="2"/>
    <x v="1"/>
    <x v="8"/>
    <x v="0"/>
    <n v="12"/>
    <x v="1"/>
    <s v="Child"/>
    <x v="3"/>
    <n v="1020"/>
    <x v="3"/>
    <x v="4"/>
    <x v="2"/>
    <x v="7"/>
    <x v="1"/>
  </r>
  <r>
    <x v="301"/>
    <x v="3"/>
    <x v="3"/>
    <x v="6"/>
    <x v="1"/>
    <n v="32"/>
    <x v="0"/>
    <s v="Adult"/>
    <x v="0"/>
    <n v="555"/>
    <x v="3"/>
    <x v="4"/>
    <x v="2"/>
    <x v="4"/>
    <x v="0"/>
  </r>
  <r>
    <x v="302"/>
    <x v="3"/>
    <x v="1"/>
    <x v="3"/>
    <x v="0"/>
    <n v="39"/>
    <x v="3"/>
    <s v="Adult"/>
    <x v="0"/>
    <n v="1392"/>
    <x v="3"/>
    <x v="4"/>
    <x v="2"/>
    <x v="6"/>
    <x v="3"/>
  </r>
  <r>
    <x v="303"/>
    <x v="1"/>
    <x v="2"/>
    <x v="4"/>
    <x v="0"/>
    <n v="8"/>
    <x v="1"/>
    <s v="Child"/>
    <x v="3"/>
    <n v="6470"/>
    <x v="1"/>
    <x v="4"/>
    <x v="2"/>
    <x v="23"/>
    <x v="0"/>
  </r>
  <r>
    <x v="304"/>
    <x v="5"/>
    <x v="3"/>
    <x v="8"/>
    <x v="0"/>
    <n v="40"/>
    <x v="3"/>
    <s v="Adult"/>
    <x v="0"/>
    <n v="1461"/>
    <x v="3"/>
    <x v="4"/>
    <x v="2"/>
    <x v="48"/>
    <x v="0"/>
  </r>
  <r>
    <x v="305"/>
    <x v="2"/>
    <x v="3"/>
    <x v="9"/>
    <x v="0"/>
    <n v="62"/>
    <x v="4"/>
    <s v="Elderly"/>
    <x v="2"/>
    <n v="1754"/>
    <x v="3"/>
    <x v="8"/>
    <x v="3"/>
    <x v="0"/>
    <x v="3"/>
  </r>
  <r>
    <x v="306"/>
    <x v="2"/>
    <x v="2"/>
    <x v="8"/>
    <x v="0"/>
    <n v="61"/>
    <x v="4"/>
    <s v="Elderly"/>
    <x v="2"/>
    <n v="5403"/>
    <x v="1"/>
    <x v="7"/>
    <x v="3"/>
    <x v="37"/>
    <x v="3"/>
  </r>
  <r>
    <x v="307"/>
    <x v="3"/>
    <x v="0"/>
    <x v="2"/>
    <x v="1"/>
    <n v="47"/>
    <x v="3"/>
    <s v="Middle Age"/>
    <x v="4"/>
    <n v="6279"/>
    <x v="1"/>
    <x v="13"/>
    <x v="1"/>
    <x v="45"/>
    <x v="2"/>
  </r>
  <r>
    <x v="308"/>
    <x v="1"/>
    <x v="3"/>
    <x v="1"/>
    <x v="0"/>
    <n v="22"/>
    <x v="0"/>
    <s v="Youth"/>
    <x v="5"/>
    <n v="3187"/>
    <x v="1"/>
    <x v="7"/>
    <x v="3"/>
    <x v="36"/>
    <x v="0"/>
  </r>
  <r>
    <x v="309"/>
    <x v="1"/>
    <x v="3"/>
    <x v="1"/>
    <x v="1"/>
    <n v="66"/>
    <x v="5"/>
    <s v="Elderly"/>
    <x v="2"/>
    <n v="4149"/>
    <x v="1"/>
    <x v="3"/>
    <x v="2"/>
    <x v="23"/>
    <x v="0"/>
  </r>
  <r>
    <x v="310"/>
    <x v="3"/>
    <x v="1"/>
    <x v="6"/>
    <x v="0"/>
    <n v="72"/>
    <x v="5"/>
    <s v="Elderly"/>
    <x v="2"/>
    <n v="1146"/>
    <x v="3"/>
    <x v="4"/>
    <x v="2"/>
    <x v="35"/>
    <x v="1"/>
  </r>
  <r>
    <x v="311"/>
    <x v="0"/>
    <x v="0"/>
    <x v="8"/>
    <x v="1"/>
    <n v="1"/>
    <x v="1"/>
    <s v="Infant"/>
    <x v="1"/>
    <n v="17219"/>
    <x v="2"/>
    <x v="1"/>
    <x v="0"/>
    <x v="50"/>
    <x v="0"/>
  </r>
  <r>
    <x v="312"/>
    <x v="1"/>
    <x v="0"/>
    <x v="8"/>
    <x v="1"/>
    <n v="9"/>
    <x v="1"/>
    <s v="Child"/>
    <x v="3"/>
    <n v="13866"/>
    <x v="4"/>
    <x v="7"/>
    <x v="3"/>
    <x v="21"/>
    <x v="1"/>
  </r>
  <r>
    <x v="313"/>
    <x v="4"/>
    <x v="0"/>
    <x v="3"/>
    <x v="1"/>
    <n v="18"/>
    <x v="6"/>
    <s v="Teenager"/>
    <x v="6"/>
    <n v="17547"/>
    <x v="2"/>
    <x v="9"/>
    <x v="1"/>
    <x v="16"/>
    <x v="2"/>
  </r>
  <r>
    <x v="314"/>
    <x v="0"/>
    <x v="1"/>
    <x v="4"/>
    <x v="2"/>
    <n v="49"/>
    <x v="3"/>
    <s v="Middle Age"/>
    <x v="4"/>
    <n v="1118"/>
    <x v="3"/>
    <x v="6"/>
    <x v="2"/>
    <x v="4"/>
    <x v="0"/>
  </r>
  <r>
    <x v="315"/>
    <x v="1"/>
    <x v="3"/>
    <x v="4"/>
    <x v="1"/>
    <n v="69"/>
    <x v="5"/>
    <s v="Elderly"/>
    <x v="2"/>
    <n v="3719"/>
    <x v="1"/>
    <x v="7"/>
    <x v="3"/>
    <x v="29"/>
    <x v="1"/>
  </r>
  <r>
    <x v="316"/>
    <x v="0"/>
    <x v="3"/>
    <x v="0"/>
    <x v="0"/>
    <n v="39"/>
    <x v="3"/>
    <s v="Adult"/>
    <x v="0"/>
    <n v="4292"/>
    <x v="1"/>
    <x v="7"/>
    <x v="3"/>
    <x v="13"/>
    <x v="0"/>
  </r>
  <r>
    <x v="317"/>
    <x v="2"/>
    <x v="1"/>
    <x v="9"/>
    <x v="1"/>
    <n v="45"/>
    <x v="3"/>
    <s v="Middle Age"/>
    <x v="4"/>
    <n v="517"/>
    <x v="3"/>
    <x v="6"/>
    <x v="2"/>
    <x v="49"/>
    <x v="1"/>
  </r>
  <r>
    <x v="318"/>
    <x v="0"/>
    <x v="0"/>
    <x v="0"/>
    <x v="0"/>
    <n v="54"/>
    <x v="4"/>
    <s v="Middle Age"/>
    <x v="4"/>
    <n v="15074"/>
    <x v="2"/>
    <x v="7"/>
    <x v="3"/>
    <x v="22"/>
    <x v="1"/>
  </r>
  <r>
    <x v="319"/>
    <x v="3"/>
    <x v="0"/>
    <x v="5"/>
    <x v="0"/>
    <n v="58"/>
    <x v="4"/>
    <s v="Middle Age"/>
    <x v="4"/>
    <n v="14794"/>
    <x v="4"/>
    <x v="9"/>
    <x v="1"/>
    <x v="28"/>
    <x v="2"/>
  </r>
  <r>
    <x v="320"/>
    <x v="6"/>
    <x v="0"/>
    <x v="9"/>
    <x v="0"/>
    <n v="52"/>
    <x v="4"/>
    <s v="Middle Age"/>
    <x v="4"/>
    <n v="12191"/>
    <x v="4"/>
    <x v="1"/>
    <x v="0"/>
    <x v="5"/>
    <x v="0"/>
  </r>
  <r>
    <x v="321"/>
    <x v="3"/>
    <x v="0"/>
    <x v="7"/>
    <x v="0"/>
    <n v="38"/>
    <x v="3"/>
    <s v="Adult"/>
    <x v="0"/>
    <n v="8836"/>
    <x v="0"/>
    <x v="13"/>
    <x v="1"/>
    <x v="34"/>
    <x v="2"/>
  </r>
  <r>
    <x v="322"/>
    <x v="2"/>
    <x v="2"/>
    <x v="9"/>
    <x v="1"/>
    <n v="19"/>
    <x v="6"/>
    <s v="Teenager"/>
    <x v="6"/>
    <n v="6408"/>
    <x v="1"/>
    <x v="11"/>
    <x v="4"/>
    <x v="1"/>
    <x v="1"/>
  </r>
  <r>
    <x v="323"/>
    <x v="4"/>
    <x v="2"/>
    <x v="3"/>
    <x v="1"/>
    <n v="76"/>
    <x v="5"/>
    <s v="Elderly"/>
    <x v="2"/>
    <n v="2434"/>
    <x v="3"/>
    <x v="1"/>
    <x v="0"/>
    <x v="14"/>
    <x v="0"/>
  </r>
  <r>
    <x v="324"/>
    <x v="4"/>
    <x v="0"/>
    <x v="4"/>
    <x v="0"/>
    <n v="86"/>
    <x v="2"/>
    <s v="Elderly"/>
    <x v="2"/>
    <n v="11244"/>
    <x v="4"/>
    <x v="2"/>
    <x v="1"/>
    <x v="34"/>
    <x v="2"/>
  </r>
  <r>
    <x v="325"/>
    <x v="0"/>
    <x v="1"/>
    <x v="8"/>
    <x v="1"/>
    <n v="49"/>
    <x v="3"/>
    <s v="Middle Age"/>
    <x v="4"/>
    <n v="576"/>
    <x v="3"/>
    <x v="4"/>
    <x v="2"/>
    <x v="43"/>
    <x v="0"/>
  </r>
  <r>
    <x v="326"/>
    <x v="3"/>
    <x v="3"/>
    <x v="3"/>
    <x v="0"/>
    <n v="19"/>
    <x v="6"/>
    <s v="Teenager"/>
    <x v="6"/>
    <n v="4293"/>
    <x v="1"/>
    <x v="3"/>
    <x v="2"/>
    <x v="14"/>
    <x v="3"/>
  </r>
  <r>
    <x v="327"/>
    <x v="4"/>
    <x v="1"/>
    <x v="2"/>
    <x v="0"/>
    <n v="50"/>
    <x v="4"/>
    <s v="Middle Age"/>
    <x v="4"/>
    <n v="697"/>
    <x v="3"/>
    <x v="6"/>
    <x v="2"/>
    <x v="40"/>
    <x v="1"/>
  </r>
  <r>
    <x v="328"/>
    <x v="5"/>
    <x v="0"/>
    <x v="6"/>
    <x v="0"/>
    <n v="12"/>
    <x v="1"/>
    <s v="Child"/>
    <x v="3"/>
    <n v="13775"/>
    <x v="4"/>
    <x v="1"/>
    <x v="0"/>
    <x v="19"/>
    <x v="1"/>
  </r>
  <r>
    <x v="329"/>
    <x v="5"/>
    <x v="1"/>
    <x v="1"/>
    <x v="0"/>
    <n v="10"/>
    <x v="1"/>
    <s v="Child"/>
    <x v="3"/>
    <n v="585"/>
    <x v="3"/>
    <x v="4"/>
    <x v="2"/>
    <x v="16"/>
    <x v="3"/>
  </r>
  <r>
    <x v="330"/>
    <x v="0"/>
    <x v="3"/>
    <x v="6"/>
    <x v="1"/>
    <n v="43"/>
    <x v="3"/>
    <s v="Adult"/>
    <x v="0"/>
    <n v="2983"/>
    <x v="3"/>
    <x v="3"/>
    <x v="2"/>
    <x v="40"/>
    <x v="1"/>
  </r>
  <r>
    <x v="331"/>
    <x v="3"/>
    <x v="0"/>
    <x v="6"/>
    <x v="0"/>
    <n v="90"/>
    <x v="2"/>
    <s v="Elderly"/>
    <x v="2"/>
    <n v="14902"/>
    <x v="4"/>
    <x v="1"/>
    <x v="0"/>
    <x v="11"/>
    <x v="0"/>
  </r>
  <r>
    <x v="332"/>
    <x v="3"/>
    <x v="2"/>
    <x v="3"/>
    <x v="1"/>
    <n v="69"/>
    <x v="5"/>
    <s v="Elderly"/>
    <x v="2"/>
    <n v="6314"/>
    <x v="1"/>
    <x v="0"/>
    <x v="0"/>
    <x v="35"/>
    <x v="1"/>
  </r>
  <r>
    <x v="333"/>
    <x v="5"/>
    <x v="2"/>
    <x v="2"/>
    <x v="0"/>
    <n v="60"/>
    <x v="4"/>
    <s v="Middle Age"/>
    <x v="4"/>
    <n v="1807"/>
    <x v="3"/>
    <x v="5"/>
    <x v="0"/>
    <x v="37"/>
    <x v="0"/>
  </r>
  <r>
    <x v="334"/>
    <x v="6"/>
    <x v="2"/>
    <x v="9"/>
    <x v="1"/>
    <n v="53"/>
    <x v="4"/>
    <s v="Middle Age"/>
    <x v="4"/>
    <n v="1374"/>
    <x v="3"/>
    <x v="7"/>
    <x v="3"/>
    <x v="0"/>
    <x v="3"/>
  </r>
  <r>
    <x v="335"/>
    <x v="3"/>
    <x v="0"/>
    <x v="3"/>
    <x v="0"/>
    <n v="75"/>
    <x v="5"/>
    <s v="Elderly"/>
    <x v="2"/>
    <n v="14488"/>
    <x v="4"/>
    <x v="12"/>
    <x v="4"/>
    <x v="42"/>
    <x v="1"/>
  </r>
  <r>
    <x v="336"/>
    <x v="3"/>
    <x v="3"/>
    <x v="4"/>
    <x v="1"/>
    <n v="73"/>
    <x v="5"/>
    <s v="Elderly"/>
    <x v="2"/>
    <n v="2513"/>
    <x v="3"/>
    <x v="8"/>
    <x v="3"/>
    <x v="14"/>
    <x v="3"/>
  </r>
  <r>
    <x v="337"/>
    <x v="0"/>
    <x v="2"/>
    <x v="3"/>
    <x v="0"/>
    <n v="63"/>
    <x v="4"/>
    <s v="Elderly"/>
    <x v="2"/>
    <n v="6927"/>
    <x v="1"/>
    <x v="5"/>
    <x v="0"/>
    <x v="23"/>
    <x v="0"/>
  </r>
  <r>
    <x v="338"/>
    <x v="3"/>
    <x v="2"/>
    <x v="7"/>
    <x v="1"/>
    <n v="70"/>
    <x v="5"/>
    <s v="Elderly"/>
    <x v="2"/>
    <n v="5000"/>
    <x v="1"/>
    <x v="8"/>
    <x v="3"/>
    <x v="5"/>
    <x v="0"/>
  </r>
  <r>
    <x v="339"/>
    <x v="0"/>
    <x v="0"/>
    <x v="2"/>
    <x v="1"/>
    <n v="10"/>
    <x v="1"/>
    <s v="Child"/>
    <x v="3"/>
    <n v="18402"/>
    <x v="2"/>
    <x v="9"/>
    <x v="1"/>
    <x v="19"/>
    <x v="2"/>
  </r>
  <r>
    <x v="340"/>
    <x v="6"/>
    <x v="0"/>
    <x v="8"/>
    <x v="1"/>
    <n v="81"/>
    <x v="2"/>
    <s v="Elderly"/>
    <x v="2"/>
    <n v="8791"/>
    <x v="0"/>
    <x v="10"/>
    <x v="3"/>
    <x v="28"/>
    <x v="0"/>
  </r>
  <r>
    <x v="341"/>
    <x v="3"/>
    <x v="0"/>
    <x v="9"/>
    <x v="0"/>
    <n v="48"/>
    <x v="3"/>
    <s v="Middle Age"/>
    <x v="4"/>
    <n v="5990"/>
    <x v="1"/>
    <x v="13"/>
    <x v="1"/>
    <x v="17"/>
    <x v="2"/>
  </r>
  <r>
    <x v="342"/>
    <x v="0"/>
    <x v="1"/>
    <x v="6"/>
    <x v="1"/>
    <n v="69"/>
    <x v="5"/>
    <s v="Elderly"/>
    <x v="2"/>
    <n v="1329"/>
    <x v="3"/>
    <x v="6"/>
    <x v="2"/>
    <x v="18"/>
    <x v="1"/>
  </r>
  <r>
    <x v="343"/>
    <x v="1"/>
    <x v="2"/>
    <x v="2"/>
    <x v="0"/>
    <n v="3"/>
    <x v="1"/>
    <s v="Infant"/>
    <x v="1"/>
    <n v="5114"/>
    <x v="1"/>
    <x v="1"/>
    <x v="0"/>
    <x v="39"/>
    <x v="1"/>
  </r>
  <r>
    <x v="344"/>
    <x v="1"/>
    <x v="0"/>
    <x v="2"/>
    <x v="1"/>
    <n v="25"/>
    <x v="0"/>
    <s v="Youth"/>
    <x v="5"/>
    <n v="15154"/>
    <x v="2"/>
    <x v="2"/>
    <x v="1"/>
    <x v="27"/>
    <x v="2"/>
  </r>
  <r>
    <x v="345"/>
    <x v="6"/>
    <x v="2"/>
    <x v="3"/>
    <x v="0"/>
    <n v="11"/>
    <x v="1"/>
    <s v="Child"/>
    <x v="3"/>
    <n v="4056"/>
    <x v="1"/>
    <x v="1"/>
    <x v="0"/>
    <x v="23"/>
    <x v="0"/>
  </r>
  <r>
    <x v="346"/>
    <x v="2"/>
    <x v="3"/>
    <x v="9"/>
    <x v="1"/>
    <n v="11"/>
    <x v="1"/>
    <s v="Child"/>
    <x v="3"/>
    <n v="759"/>
    <x v="3"/>
    <x v="3"/>
    <x v="2"/>
    <x v="11"/>
    <x v="0"/>
  </r>
  <r>
    <x v="347"/>
    <x v="4"/>
    <x v="1"/>
    <x v="2"/>
    <x v="1"/>
    <n v="82"/>
    <x v="2"/>
    <s v="Elderly"/>
    <x v="2"/>
    <n v="219"/>
    <x v="3"/>
    <x v="4"/>
    <x v="2"/>
    <x v="9"/>
    <x v="1"/>
  </r>
  <r>
    <x v="348"/>
    <x v="1"/>
    <x v="1"/>
    <x v="8"/>
    <x v="0"/>
    <n v="43"/>
    <x v="3"/>
    <s v="Adult"/>
    <x v="0"/>
    <n v="1358"/>
    <x v="3"/>
    <x v="3"/>
    <x v="2"/>
    <x v="41"/>
    <x v="0"/>
  </r>
  <r>
    <x v="349"/>
    <x v="1"/>
    <x v="3"/>
    <x v="9"/>
    <x v="0"/>
    <n v="89"/>
    <x v="2"/>
    <s v="Elderly"/>
    <x v="2"/>
    <n v="4395"/>
    <x v="1"/>
    <x v="4"/>
    <x v="2"/>
    <x v="32"/>
    <x v="1"/>
  </r>
  <r>
    <x v="350"/>
    <x v="1"/>
    <x v="2"/>
    <x v="2"/>
    <x v="0"/>
    <n v="5"/>
    <x v="1"/>
    <s v="Infant"/>
    <x v="1"/>
    <n v="2469"/>
    <x v="3"/>
    <x v="0"/>
    <x v="0"/>
    <x v="38"/>
    <x v="1"/>
  </r>
  <r>
    <x v="351"/>
    <x v="3"/>
    <x v="3"/>
    <x v="8"/>
    <x v="0"/>
    <n v="39"/>
    <x v="3"/>
    <s v="Adult"/>
    <x v="0"/>
    <n v="1830"/>
    <x v="3"/>
    <x v="7"/>
    <x v="3"/>
    <x v="22"/>
    <x v="1"/>
  </r>
  <r>
    <x v="352"/>
    <x v="2"/>
    <x v="1"/>
    <x v="2"/>
    <x v="1"/>
    <n v="18"/>
    <x v="6"/>
    <s v="Teenager"/>
    <x v="6"/>
    <n v="1818"/>
    <x v="3"/>
    <x v="4"/>
    <x v="2"/>
    <x v="16"/>
    <x v="3"/>
  </r>
  <r>
    <x v="353"/>
    <x v="1"/>
    <x v="2"/>
    <x v="0"/>
    <x v="1"/>
    <n v="30"/>
    <x v="0"/>
    <s v="Adult"/>
    <x v="0"/>
    <n v="1622"/>
    <x v="3"/>
    <x v="0"/>
    <x v="0"/>
    <x v="20"/>
    <x v="0"/>
  </r>
  <r>
    <x v="354"/>
    <x v="6"/>
    <x v="1"/>
    <x v="4"/>
    <x v="1"/>
    <n v="35"/>
    <x v="3"/>
    <s v="Adult"/>
    <x v="0"/>
    <n v="1804"/>
    <x v="3"/>
    <x v="6"/>
    <x v="2"/>
    <x v="12"/>
    <x v="0"/>
  </r>
  <r>
    <x v="355"/>
    <x v="3"/>
    <x v="2"/>
    <x v="2"/>
    <x v="0"/>
    <n v="56"/>
    <x v="4"/>
    <s v="Middle Age"/>
    <x v="4"/>
    <n v="2521"/>
    <x v="3"/>
    <x v="1"/>
    <x v="0"/>
    <x v="46"/>
    <x v="1"/>
  </r>
  <r>
    <x v="356"/>
    <x v="6"/>
    <x v="2"/>
    <x v="9"/>
    <x v="0"/>
    <n v="11"/>
    <x v="1"/>
    <s v="Child"/>
    <x v="3"/>
    <n v="3195"/>
    <x v="1"/>
    <x v="8"/>
    <x v="3"/>
    <x v="4"/>
    <x v="0"/>
  </r>
  <r>
    <x v="357"/>
    <x v="0"/>
    <x v="3"/>
    <x v="8"/>
    <x v="1"/>
    <n v="14"/>
    <x v="6"/>
    <s v="Teenager"/>
    <x v="6"/>
    <n v="1249"/>
    <x v="3"/>
    <x v="3"/>
    <x v="2"/>
    <x v="35"/>
    <x v="1"/>
  </r>
  <r>
    <x v="358"/>
    <x v="4"/>
    <x v="2"/>
    <x v="3"/>
    <x v="1"/>
    <n v="12"/>
    <x v="1"/>
    <s v="Child"/>
    <x v="3"/>
    <n v="2535"/>
    <x v="3"/>
    <x v="1"/>
    <x v="0"/>
    <x v="36"/>
    <x v="0"/>
  </r>
  <r>
    <x v="359"/>
    <x v="2"/>
    <x v="1"/>
    <x v="5"/>
    <x v="1"/>
    <n v="46"/>
    <x v="3"/>
    <s v="Middle Age"/>
    <x v="4"/>
    <n v="1335"/>
    <x v="3"/>
    <x v="3"/>
    <x v="2"/>
    <x v="20"/>
    <x v="3"/>
  </r>
  <r>
    <x v="360"/>
    <x v="2"/>
    <x v="2"/>
    <x v="8"/>
    <x v="1"/>
    <n v="53"/>
    <x v="4"/>
    <s v="Middle Age"/>
    <x v="4"/>
    <n v="4176"/>
    <x v="1"/>
    <x v="4"/>
    <x v="2"/>
    <x v="16"/>
    <x v="3"/>
  </r>
  <r>
    <x v="361"/>
    <x v="2"/>
    <x v="3"/>
    <x v="1"/>
    <x v="0"/>
    <n v="88"/>
    <x v="2"/>
    <s v="Elderly"/>
    <x v="2"/>
    <n v="3618"/>
    <x v="1"/>
    <x v="6"/>
    <x v="2"/>
    <x v="29"/>
    <x v="1"/>
  </r>
  <r>
    <x v="362"/>
    <x v="5"/>
    <x v="2"/>
    <x v="3"/>
    <x v="0"/>
    <n v="9"/>
    <x v="1"/>
    <s v="Child"/>
    <x v="3"/>
    <n v="2369"/>
    <x v="3"/>
    <x v="1"/>
    <x v="0"/>
    <x v="10"/>
    <x v="1"/>
  </r>
  <r>
    <x v="363"/>
    <x v="4"/>
    <x v="2"/>
    <x v="6"/>
    <x v="0"/>
    <n v="47"/>
    <x v="3"/>
    <s v="Middle Age"/>
    <x v="4"/>
    <n v="3061"/>
    <x v="1"/>
    <x v="7"/>
    <x v="3"/>
    <x v="16"/>
    <x v="3"/>
  </r>
  <r>
    <x v="364"/>
    <x v="0"/>
    <x v="1"/>
    <x v="1"/>
    <x v="0"/>
    <n v="59"/>
    <x v="4"/>
    <s v="Middle Age"/>
    <x v="4"/>
    <n v="419"/>
    <x v="3"/>
    <x v="3"/>
    <x v="2"/>
    <x v="35"/>
    <x v="1"/>
  </r>
  <r>
    <x v="365"/>
    <x v="1"/>
    <x v="1"/>
    <x v="4"/>
    <x v="0"/>
    <n v="49"/>
    <x v="3"/>
    <s v="Middle Age"/>
    <x v="4"/>
    <n v="1846"/>
    <x v="3"/>
    <x v="6"/>
    <x v="2"/>
    <x v="36"/>
    <x v="0"/>
  </r>
  <r>
    <x v="366"/>
    <x v="5"/>
    <x v="1"/>
    <x v="1"/>
    <x v="1"/>
    <n v="42"/>
    <x v="3"/>
    <s v="Adult"/>
    <x v="0"/>
    <n v="1435"/>
    <x v="3"/>
    <x v="4"/>
    <x v="2"/>
    <x v="49"/>
    <x v="1"/>
  </r>
  <r>
    <x v="367"/>
    <x v="4"/>
    <x v="2"/>
    <x v="7"/>
    <x v="0"/>
    <n v="41"/>
    <x v="3"/>
    <s v="Adult"/>
    <x v="0"/>
    <n v="3387"/>
    <x v="1"/>
    <x v="5"/>
    <x v="0"/>
    <x v="6"/>
    <x v="0"/>
  </r>
  <r>
    <x v="368"/>
    <x v="6"/>
    <x v="3"/>
    <x v="4"/>
    <x v="1"/>
    <n v="51"/>
    <x v="4"/>
    <s v="Middle Age"/>
    <x v="4"/>
    <n v="3490"/>
    <x v="1"/>
    <x v="3"/>
    <x v="2"/>
    <x v="6"/>
    <x v="3"/>
  </r>
  <r>
    <x v="369"/>
    <x v="3"/>
    <x v="3"/>
    <x v="2"/>
    <x v="1"/>
    <n v="60"/>
    <x v="4"/>
    <s v="Middle Age"/>
    <x v="4"/>
    <n v="2217"/>
    <x v="3"/>
    <x v="8"/>
    <x v="3"/>
    <x v="42"/>
    <x v="1"/>
  </r>
  <r>
    <x v="370"/>
    <x v="6"/>
    <x v="0"/>
    <x v="8"/>
    <x v="0"/>
    <n v="18"/>
    <x v="6"/>
    <s v="Teenager"/>
    <x v="6"/>
    <n v="15376"/>
    <x v="2"/>
    <x v="5"/>
    <x v="0"/>
    <x v="22"/>
    <x v="1"/>
  </r>
  <r>
    <x v="371"/>
    <x v="5"/>
    <x v="3"/>
    <x v="8"/>
    <x v="0"/>
    <n v="10"/>
    <x v="1"/>
    <s v="Child"/>
    <x v="3"/>
    <n v="4178"/>
    <x v="1"/>
    <x v="7"/>
    <x v="3"/>
    <x v="43"/>
    <x v="0"/>
  </r>
  <r>
    <x v="372"/>
    <x v="2"/>
    <x v="1"/>
    <x v="2"/>
    <x v="0"/>
    <n v="89"/>
    <x v="2"/>
    <s v="Elderly"/>
    <x v="2"/>
    <n v="1056"/>
    <x v="3"/>
    <x v="4"/>
    <x v="2"/>
    <x v="32"/>
    <x v="1"/>
  </r>
  <r>
    <x v="373"/>
    <x v="6"/>
    <x v="2"/>
    <x v="2"/>
    <x v="0"/>
    <n v="11"/>
    <x v="1"/>
    <s v="Child"/>
    <x v="3"/>
    <n v="1895"/>
    <x v="3"/>
    <x v="7"/>
    <x v="3"/>
    <x v="25"/>
    <x v="3"/>
  </r>
  <r>
    <x v="374"/>
    <x v="0"/>
    <x v="2"/>
    <x v="7"/>
    <x v="0"/>
    <n v="6"/>
    <x v="1"/>
    <s v="Child"/>
    <x v="3"/>
    <n v="5613"/>
    <x v="1"/>
    <x v="1"/>
    <x v="0"/>
    <x v="37"/>
    <x v="0"/>
  </r>
  <r>
    <x v="375"/>
    <x v="5"/>
    <x v="1"/>
    <x v="5"/>
    <x v="1"/>
    <n v="34"/>
    <x v="0"/>
    <s v="Adult"/>
    <x v="0"/>
    <n v="654"/>
    <x v="3"/>
    <x v="4"/>
    <x v="2"/>
    <x v="0"/>
    <x v="3"/>
  </r>
  <r>
    <x v="376"/>
    <x v="2"/>
    <x v="3"/>
    <x v="6"/>
    <x v="1"/>
    <n v="60"/>
    <x v="4"/>
    <s v="Middle Age"/>
    <x v="4"/>
    <n v="4599"/>
    <x v="1"/>
    <x v="6"/>
    <x v="2"/>
    <x v="8"/>
    <x v="0"/>
  </r>
  <r>
    <x v="377"/>
    <x v="1"/>
    <x v="1"/>
    <x v="5"/>
    <x v="1"/>
    <n v="11"/>
    <x v="1"/>
    <s v="Child"/>
    <x v="3"/>
    <n v="437"/>
    <x v="3"/>
    <x v="4"/>
    <x v="2"/>
    <x v="44"/>
    <x v="1"/>
  </r>
  <r>
    <x v="378"/>
    <x v="5"/>
    <x v="2"/>
    <x v="4"/>
    <x v="1"/>
    <n v="27"/>
    <x v="0"/>
    <s v="Youth"/>
    <x v="5"/>
    <n v="5268"/>
    <x v="1"/>
    <x v="5"/>
    <x v="0"/>
    <x v="8"/>
    <x v="0"/>
  </r>
  <r>
    <x v="379"/>
    <x v="4"/>
    <x v="0"/>
    <x v="6"/>
    <x v="0"/>
    <n v="58"/>
    <x v="4"/>
    <s v="Middle Age"/>
    <x v="4"/>
    <n v="10225"/>
    <x v="0"/>
    <x v="10"/>
    <x v="3"/>
    <x v="35"/>
    <x v="1"/>
  </r>
  <r>
    <x v="380"/>
    <x v="1"/>
    <x v="0"/>
    <x v="0"/>
    <x v="0"/>
    <n v="83"/>
    <x v="2"/>
    <s v="Elderly"/>
    <x v="2"/>
    <n v="6791"/>
    <x v="1"/>
    <x v="9"/>
    <x v="1"/>
    <x v="9"/>
    <x v="2"/>
  </r>
  <r>
    <x v="381"/>
    <x v="0"/>
    <x v="3"/>
    <x v="2"/>
    <x v="1"/>
    <n v="21"/>
    <x v="0"/>
    <s v="Youth"/>
    <x v="5"/>
    <n v="3211"/>
    <x v="1"/>
    <x v="7"/>
    <x v="3"/>
    <x v="13"/>
    <x v="0"/>
  </r>
  <r>
    <x v="382"/>
    <x v="4"/>
    <x v="3"/>
    <x v="8"/>
    <x v="0"/>
    <n v="24"/>
    <x v="0"/>
    <s v="Youth"/>
    <x v="5"/>
    <n v="4040"/>
    <x v="1"/>
    <x v="8"/>
    <x v="3"/>
    <x v="38"/>
    <x v="1"/>
  </r>
  <r>
    <x v="383"/>
    <x v="0"/>
    <x v="3"/>
    <x v="6"/>
    <x v="0"/>
    <n v="50"/>
    <x v="4"/>
    <s v="Middle Age"/>
    <x v="4"/>
    <n v="536"/>
    <x v="3"/>
    <x v="6"/>
    <x v="2"/>
    <x v="40"/>
    <x v="1"/>
  </r>
  <r>
    <x v="384"/>
    <x v="5"/>
    <x v="0"/>
    <x v="1"/>
    <x v="1"/>
    <n v="69"/>
    <x v="5"/>
    <s v="Elderly"/>
    <x v="2"/>
    <n v="8063"/>
    <x v="0"/>
    <x v="11"/>
    <x v="4"/>
    <x v="34"/>
    <x v="1"/>
  </r>
  <r>
    <x v="385"/>
    <x v="3"/>
    <x v="1"/>
    <x v="5"/>
    <x v="1"/>
    <n v="63"/>
    <x v="4"/>
    <s v="Elderly"/>
    <x v="2"/>
    <n v="1280"/>
    <x v="3"/>
    <x v="4"/>
    <x v="2"/>
    <x v="34"/>
    <x v="0"/>
  </r>
  <r>
    <x v="386"/>
    <x v="2"/>
    <x v="1"/>
    <x v="1"/>
    <x v="1"/>
    <n v="15"/>
    <x v="6"/>
    <s v="Teenager"/>
    <x v="6"/>
    <n v="912"/>
    <x v="3"/>
    <x v="6"/>
    <x v="2"/>
    <x v="23"/>
    <x v="0"/>
  </r>
  <r>
    <x v="387"/>
    <x v="2"/>
    <x v="3"/>
    <x v="3"/>
    <x v="0"/>
    <n v="76"/>
    <x v="5"/>
    <s v="Elderly"/>
    <x v="2"/>
    <n v="1194"/>
    <x v="3"/>
    <x v="6"/>
    <x v="2"/>
    <x v="34"/>
    <x v="0"/>
  </r>
  <r>
    <x v="388"/>
    <x v="1"/>
    <x v="3"/>
    <x v="3"/>
    <x v="1"/>
    <n v="48"/>
    <x v="3"/>
    <s v="Middle Age"/>
    <x v="4"/>
    <n v="1658"/>
    <x v="3"/>
    <x v="7"/>
    <x v="3"/>
    <x v="4"/>
    <x v="0"/>
  </r>
  <r>
    <x v="389"/>
    <x v="4"/>
    <x v="3"/>
    <x v="1"/>
    <x v="1"/>
    <n v="24"/>
    <x v="0"/>
    <s v="Youth"/>
    <x v="5"/>
    <n v="4486"/>
    <x v="1"/>
    <x v="7"/>
    <x v="3"/>
    <x v="3"/>
    <x v="3"/>
  </r>
  <r>
    <x v="390"/>
    <x v="0"/>
    <x v="3"/>
    <x v="2"/>
    <x v="1"/>
    <n v="37"/>
    <x v="3"/>
    <s v="Adult"/>
    <x v="0"/>
    <n v="1649"/>
    <x v="3"/>
    <x v="6"/>
    <x v="2"/>
    <x v="34"/>
    <x v="0"/>
  </r>
  <r>
    <x v="391"/>
    <x v="6"/>
    <x v="1"/>
    <x v="1"/>
    <x v="1"/>
    <n v="46"/>
    <x v="3"/>
    <s v="Middle Age"/>
    <x v="4"/>
    <n v="219"/>
    <x v="3"/>
    <x v="6"/>
    <x v="2"/>
    <x v="29"/>
    <x v="1"/>
  </r>
  <r>
    <x v="392"/>
    <x v="3"/>
    <x v="1"/>
    <x v="2"/>
    <x v="0"/>
    <n v="64"/>
    <x v="4"/>
    <s v="Elderly"/>
    <x v="2"/>
    <n v="1037"/>
    <x v="3"/>
    <x v="4"/>
    <x v="2"/>
    <x v="12"/>
    <x v="0"/>
  </r>
  <r>
    <x v="393"/>
    <x v="4"/>
    <x v="1"/>
    <x v="6"/>
    <x v="1"/>
    <n v="73"/>
    <x v="5"/>
    <s v="Elderly"/>
    <x v="2"/>
    <n v="263"/>
    <x v="3"/>
    <x v="3"/>
    <x v="2"/>
    <x v="42"/>
    <x v="1"/>
  </r>
  <r>
    <x v="394"/>
    <x v="1"/>
    <x v="2"/>
    <x v="9"/>
    <x v="0"/>
    <n v="22"/>
    <x v="0"/>
    <s v="Youth"/>
    <x v="5"/>
    <n v="4746"/>
    <x v="1"/>
    <x v="5"/>
    <x v="0"/>
    <x v="14"/>
    <x v="0"/>
  </r>
  <r>
    <x v="395"/>
    <x v="2"/>
    <x v="0"/>
    <x v="1"/>
    <x v="1"/>
    <n v="70"/>
    <x v="5"/>
    <s v="Elderly"/>
    <x v="2"/>
    <n v="18488"/>
    <x v="2"/>
    <x v="11"/>
    <x v="4"/>
    <x v="5"/>
    <x v="1"/>
  </r>
  <r>
    <x v="396"/>
    <x v="6"/>
    <x v="0"/>
    <x v="6"/>
    <x v="0"/>
    <n v="55"/>
    <x v="4"/>
    <s v="Middle Age"/>
    <x v="4"/>
    <n v="6677"/>
    <x v="1"/>
    <x v="9"/>
    <x v="1"/>
    <x v="37"/>
    <x v="2"/>
  </r>
  <r>
    <x v="397"/>
    <x v="3"/>
    <x v="2"/>
    <x v="0"/>
    <x v="1"/>
    <n v="45"/>
    <x v="3"/>
    <s v="Middle Age"/>
    <x v="4"/>
    <n v="1712"/>
    <x v="3"/>
    <x v="5"/>
    <x v="0"/>
    <x v="45"/>
    <x v="1"/>
  </r>
  <r>
    <x v="398"/>
    <x v="6"/>
    <x v="3"/>
    <x v="9"/>
    <x v="0"/>
    <n v="76"/>
    <x v="5"/>
    <s v="Elderly"/>
    <x v="2"/>
    <n v="3372"/>
    <x v="1"/>
    <x v="7"/>
    <x v="3"/>
    <x v="17"/>
    <x v="3"/>
  </r>
  <r>
    <x v="399"/>
    <x v="4"/>
    <x v="3"/>
    <x v="1"/>
    <x v="1"/>
    <n v="27"/>
    <x v="0"/>
    <s v="Youth"/>
    <x v="5"/>
    <n v="2195"/>
    <x v="3"/>
    <x v="3"/>
    <x v="2"/>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8B4E5-F3F7-4CE9-BF95-F2E5554295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3" firstHeaderRow="0" firstDataRow="1" firstDataCol="0"/>
  <pivotFields count="15">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dataField="1" showAll="0"/>
    <pivotField showAll="0"/>
    <pivotField showAll="0"/>
    <pivotField showAll="0"/>
    <pivotField dataField="1" numFmtId="164" showAll="0"/>
    <pivotField showAll="0"/>
    <pivotField dataField="1" showAll="0"/>
    <pivotField showAll="0"/>
    <pivotField dataField="1" showAll="0"/>
    <pivotField showAll="0"/>
  </pivotFields>
  <rowItems count="1">
    <i/>
  </rowItems>
  <colFields count="1">
    <field x="-2"/>
  </colFields>
  <colItems count="5">
    <i>
      <x/>
    </i>
    <i i="1">
      <x v="1"/>
    </i>
    <i i="2">
      <x v="2"/>
    </i>
    <i i="3">
      <x v="3"/>
    </i>
    <i i="4">
      <x v="4"/>
    </i>
  </colItems>
  <dataFields count="5">
    <dataField name="Count of Patient ID" fld="0" subtotal="count" baseField="0" baseItem="0"/>
    <dataField name="Avg.  of Treatment Cost" fld="9" subtotal="average" baseField="0" baseItem="1" numFmtId="165"/>
    <dataField name="Avg.  of Age" fld="5" subtotal="average" baseField="0" baseItem="1" numFmtId="1"/>
    <dataField name="Avg.  of Hospital Stay (Days)" fld="11" subtotal="average" baseField="0" baseItem="0" numFmtId="1"/>
    <dataField name="Avg. Recovery Score" fld="13" subtotal="average" baseField="0" baseItem="1"/>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2AB1CA-8CDF-4BAF-BF6B-B109E82609D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B37:C41" firstHeaderRow="1" firstDataRow="1" firstDataCol="1"/>
  <pivotFields count="15">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axis="axisRow" showAll="0">
      <items count="4">
        <item x="0"/>
        <item x="1"/>
        <item x="2"/>
        <item t="default"/>
      </items>
    </pivotField>
    <pivotField showAll="0"/>
    <pivotField showAll="0"/>
    <pivotField showAll="0"/>
    <pivotField showAll="0"/>
    <pivotField numFmtId="164"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Avg. Recovery Score" fld="13" subtotal="average" baseField="4" baseItem="1"/>
  </dataFields>
  <formats count="1">
    <format dxfId="3">
      <pivotArea collapsedLevelsAreSubtotals="1" fieldPosition="0">
        <references count="1">
          <reference field="4" count="0"/>
        </references>
      </pivotArea>
    </format>
  </format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5189C-634D-47F6-AB11-2D2D092AC36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5:C63" firstHeaderRow="1" firstDataRow="1" firstDataCol="1"/>
  <pivotFields count="15">
    <pivotField showAll="0"/>
    <pivotField axis="axisRow" showAll="0" sortType="a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numFmtId="164" showAll="0"/>
    <pivotField showAll="0"/>
    <pivotField showAll="0"/>
    <pivotField showAll="0"/>
    <pivotField dataField="1" showAll="0"/>
    <pivotField showAll="0"/>
  </pivotFields>
  <rowFields count="1">
    <field x="1"/>
  </rowFields>
  <rowItems count="8">
    <i>
      <x/>
    </i>
    <i>
      <x v="3"/>
    </i>
    <i>
      <x v="4"/>
    </i>
    <i>
      <x v="6"/>
    </i>
    <i>
      <x v="5"/>
    </i>
    <i>
      <x v="2"/>
    </i>
    <i>
      <x v="1"/>
    </i>
    <i t="grand">
      <x/>
    </i>
  </rowItems>
  <colItems count="1">
    <i/>
  </colItems>
  <dataFields count="1">
    <dataField name="Avg. Recovery Score" fld="13" subtotal="average" baseField="1" baseItem="0"/>
  </dataFields>
  <formats count="1">
    <format dxfId="4">
      <pivotArea collapsedLevelsAreSubtotals="1" fieldPosition="0">
        <references count="1">
          <reference field="1" count="0"/>
        </references>
      </pivotArea>
    </format>
  </formats>
  <chartFormats count="6">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BCAE5-BF3F-4ECB-AB56-B0557CD147A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st category">
  <location ref="B20:C26" firstHeaderRow="1" firstDataRow="1" firstDataCol="1"/>
  <pivotFields count="15">
    <pivotField dataField="1"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numFmtId="164" showAll="0"/>
    <pivotField axis="axisRow" showAll="0" sortType="ascending">
      <items count="6">
        <item x="2"/>
        <item x="0"/>
        <item x="3"/>
        <item x="1"/>
        <item n="Very High Cost"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6">
    <i>
      <x v="1"/>
    </i>
    <i>
      <x/>
    </i>
    <i>
      <x v="4"/>
    </i>
    <i>
      <x v="3"/>
    </i>
    <i>
      <x v="2"/>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26098D-3B52-450D-B9DE-DB420481266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atment Type">
  <location ref="B29:C34" firstHeaderRow="1" firstDataRow="1" firstDataCol="1"/>
  <pivotFields count="15">
    <pivotField showAll="0"/>
    <pivotField showAll="0">
      <items count="8">
        <item x="1"/>
        <item x="0"/>
        <item x="6"/>
        <item x="5"/>
        <item x="2"/>
        <item x="3"/>
        <item x="4"/>
        <item t="default"/>
      </items>
    </pivotField>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numFmtId="164" showAll="0"/>
    <pivotField showAll="0"/>
    <pivotField showAll="0"/>
    <pivotField showAll="0"/>
    <pivotField dataField="1" showAll="0"/>
    <pivotField showAll="0"/>
  </pivotFields>
  <rowFields count="1">
    <field x="2"/>
  </rowFields>
  <rowItems count="5">
    <i>
      <x v="1"/>
    </i>
    <i>
      <x/>
    </i>
    <i>
      <x v="3"/>
    </i>
    <i>
      <x v="2"/>
    </i>
    <i t="grand">
      <x/>
    </i>
  </rowItems>
  <colItems count="1">
    <i/>
  </colItems>
  <dataFields count="1">
    <dataField name="Avg. Recovery Score" fld="13" subtotal="average" baseField="2" baseItem="0"/>
  </dataFields>
  <formats count="1">
    <format dxfId="5">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840A93-54D9-4B82-B1BD-C96736BF599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17" firstHeaderRow="1" firstDataRow="1" firstDataCol="1"/>
  <pivotFields count="15">
    <pivotField showAll="0"/>
    <pivotField showAll="0">
      <items count="8">
        <item x="1"/>
        <item x="0"/>
        <item x="6"/>
        <item x="5"/>
        <item x="2"/>
        <item x="3"/>
        <item x="4"/>
        <item t="default"/>
      </items>
    </pivotField>
    <pivotField showAll="0">
      <items count="5">
        <item x="3"/>
        <item x="1"/>
        <item x="0"/>
        <item x="2"/>
        <item t="default"/>
      </items>
    </pivotField>
    <pivotField axis="axisRow" showAll="0" sortType="descending">
      <items count="11">
        <item x="9"/>
        <item x="6"/>
        <item x="4"/>
        <item x="5"/>
        <item x="3"/>
        <item x="1"/>
        <item x="8"/>
        <item x="2"/>
        <item x="0"/>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11">
        <item x="4"/>
        <item x="1"/>
        <item x="2"/>
        <item m="1" x="8"/>
        <item x="3"/>
        <item x="5"/>
        <item m="1" x="9"/>
        <item x="6"/>
        <item x="0"/>
        <item m="1" x="7"/>
        <item t="default"/>
      </items>
    </pivotField>
    <pivotField showAll="0"/>
    <pivotField showAll="0"/>
    <pivotField numFmtId="164" showAll="0"/>
    <pivotField showAll="0"/>
    <pivotField showAll="0"/>
    <pivotField showAll="0"/>
    <pivotField dataField="1" showAll="0"/>
    <pivotField showAll="0"/>
  </pivotFields>
  <rowFields count="1">
    <field x="3"/>
  </rowFields>
  <rowItems count="11">
    <i>
      <x v="3"/>
    </i>
    <i>
      <x v="6"/>
    </i>
    <i>
      <x v="4"/>
    </i>
    <i>
      <x v="2"/>
    </i>
    <i>
      <x v="9"/>
    </i>
    <i>
      <x/>
    </i>
    <i>
      <x v="1"/>
    </i>
    <i>
      <x v="5"/>
    </i>
    <i>
      <x v="7"/>
    </i>
    <i>
      <x v="8"/>
    </i>
    <i t="grand">
      <x/>
    </i>
  </rowItems>
  <colItems count="1">
    <i/>
  </colItems>
  <dataFields count="1">
    <dataField name="Avg. Recovery Score" fld="13" subtotal="average" baseField="3" baseItem="0"/>
  </dataFields>
  <formats count="1">
    <format dxfId="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D7E49E-194E-4A4E-862F-F50E15052D6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st category">
  <location ref="H20:I26" firstHeaderRow="1" firstDataRow="1" firstDataCol="1"/>
  <pivotFields count="15">
    <pivotField dataField="1"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numFmtId="164" showAll="0"/>
    <pivotField axis="axisRow" showAll="0" sortType="ascending">
      <items count="6">
        <item x="2"/>
        <item x="0"/>
        <item x="3"/>
        <item x="1"/>
        <item n="Very High Cost"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6">
    <i>
      <x v="1"/>
    </i>
    <i>
      <x/>
    </i>
    <i>
      <x v="4"/>
    </i>
    <i>
      <x v="3"/>
    </i>
    <i>
      <x v="2"/>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0FB274-1549-4DF5-821D-A021EE1581F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4:C52" firstHeaderRow="1" firstDataRow="1" firstDataCol="1"/>
  <pivotFields count="15">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axis="axisRow" showAll="0" sortType="ascending">
      <items count="8">
        <item x="0"/>
        <item x="3"/>
        <item x="2"/>
        <item x="1"/>
        <item x="4"/>
        <item x="6"/>
        <item x="5"/>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dataField="1" showAll="0"/>
    <pivotField showAll="0"/>
  </pivotFields>
  <rowFields count="1">
    <field x="8"/>
  </rowFields>
  <rowItems count="8">
    <i>
      <x v="5"/>
    </i>
    <i>
      <x v="3"/>
    </i>
    <i>
      <x v="6"/>
    </i>
    <i>
      <x v="4"/>
    </i>
    <i>
      <x/>
    </i>
    <i>
      <x v="1"/>
    </i>
    <i>
      <x v="2"/>
    </i>
    <i t="grand">
      <x/>
    </i>
  </rowItems>
  <colItems count="1">
    <i/>
  </colItems>
  <dataFields count="1">
    <dataField name="Avg. Recovery Score" fld="13" subtotal="average" baseField="8" baseItem="0"/>
  </dataFields>
  <formats count="1">
    <format dxfId="7">
      <pivotArea collapsedLevelsAreSubtotals="1" fieldPosition="0">
        <references count="1">
          <reference field="8"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DCC6D15-978B-40BF-B0A3-CF426B92A254}" sourceName="Department">
  <pivotTables>
    <pivotTable tabId="3" name="PivotTable14"/>
    <pivotTable tabId="3" name="PivotTable10"/>
    <pivotTable tabId="3" name="PivotTable13"/>
    <pivotTable tabId="3" name="PivotTable15"/>
    <pivotTable tabId="3" name="PivotTable18"/>
    <pivotTable tabId="3" name="PivotTable19"/>
    <pivotTable tabId="3" name="PivotTable27"/>
  </pivotTables>
  <data>
    <tabular pivotCacheId="468913021">
      <items count="7">
        <i x="1" s="1"/>
        <i x="0" s="1"/>
        <i x="6" s="1"/>
        <i x="5"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648BBB79-641E-4D5D-87FA-B488EC13085A}" sourceName="Doctor Name">
  <pivotTables>
    <pivotTable tabId="3" name="PivotTable13"/>
    <pivotTable tabId="3" name="PivotTable10"/>
    <pivotTable tabId="3" name="PivotTable14"/>
    <pivotTable tabId="3" name="PivotTable15"/>
    <pivotTable tabId="3" name="PivotTable18"/>
    <pivotTable tabId="3" name="PivotTable19"/>
    <pivotTable tabId="3" name="PivotTable27"/>
  </pivotTables>
  <data>
    <tabular pivotCacheId="468913021">
      <items count="10">
        <i x="9" s="1"/>
        <i x="6" s="1"/>
        <i x="4" s="1"/>
        <i x="5" s="1"/>
        <i x="3" s="1"/>
        <i x="1" s="1"/>
        <i x="8" s="1"/>
        <i x="2"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8BAB99F2-F2C5-44EE-A2C1-B0E3BAA58186}" sourceName="Treatment Type">
  <pivotTables>
    <pivotTable tabId="3" name="PivotTable13"/>
    <pivotTable tabId="3" name="PivotTable10"/>
    <pivotTable tabId="3" name="PivotTable14"/>
    <pivotTable tabId="3" name="PivotTable15"/>
    <pivotTable tabId="3" name="PivotTable18"/>
    <pivotTable tabId="3" name="PivotTable19"/>
    <pivotTable tabId="3" name="PivotTable27"/>
  </pivotTables>
  <data>
    <tabular pivotCacheId="46891302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6972E4E-3254-471D-81F5-DD252188B54F}" cache="Slicer_Department" caption="Department" columnCount="2" style="Slicer Style 1" rowHeight="241300"/>
  <slicer name="Doctor Name" xr10:uid="{74A04AD3-A087-495B-8354-C89F5591EF7D}" cache="Slicer_Doctor_Name" caption="Doctor Name" columnCount="2" style="Slicer Style 1" rowHeight="241300"/>
  <slicer name="Treatment Type" xr10:uid="{77F2A94A-93F8-4E00-8AE5-0179081F36B7}" cache="Slicer_Treatment_Type" caption="Treatment Typ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378748-2FA9-4EAC-B4E4-C9D8C17D91ED}" name="Table1" displayName="Table1" ref="A1:M401" totalsRowShown="0">
  <autoFilter ref="A1:M401" xr:uid="{023D1EA8-7D5E-4FC0-A143-D41257D69BBA}"/>
  <tableColumns count="13">
    <tableColumn id="1" xr3:uid="{23A03D5E-A2D1-4B5F-99A2-C005B251E156}" name="Patient ID"/>
    <tableColumn id="2" xr3:uid="{FC4CF341-5B61-4D9F-9458-45FEEE9E0165}" name="Department"/>
    <tableColumn id="3" xr3:uid="{1023FC19-999E-44A0-8198-9FBF9F51BB93}" name="Treatment Type"/>
    <tableColumn id="4" xr3:uid="{0D675E64-340D-4311-8F7A-17532CBE720A}" name="Doctor Name"/>
    <tableColumn id="5" xr3:uid="{F3358F30-6BB5-4513-A8C7-622AD76C9648}" name="Gender"/>
    <tableColumn id="6" xr3:uid="{8D80F464-9529-400D-ACFB-6FA39EB18269}" name="Age"/>
    <tableColumn id="14" xr3:uid="{81ACB617-1270-4604-9EF1-A7BF8B7D334A}" name="Age Group"/>
    <tableColumn id="7" xr3:uid="{E1BEF098-AEBE-4381-8934-75E3B340C30D}" name="Treatment Cost" dataDxfId="9" dataCellStyle="Currency"/>
    <tableColumn id="18" xr3:uid="{CD56D578-2043-4CE2-8C53-51FE0D1CED7E}" name="Cost Category" dataDxfId="8" dataCellStyle="Currency"/>
    <tableColumn id="8" xr3:uid="{57B382CA-E4AD-44E7-B004-E39A85AD1F49}" name="Hospital Stay (Days)"/>
    <tableColumn id="15" xr3:uid="{2F13A08E-DE4E-4E10-8CD6-754971444866}" name="Lenght of stay"/>
    <tableColumn id="9" xr3:uid="{818F0502-3320-4DAA-B76F-7E60A0A906EA}" name="Recovery Score"/>
    <tableColumn id="17" xr3:uid="{2F134423-C6DC-48BB-AC53-74FA31169D37}" name="Treatment Effectivenes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30C4-32F8-4FE1-9810-B8D85925A89A}">
  <dimension ref="A1:I401"/>
  <sheetViews>
    <sheetView workbookViewId="0"/>
  </sheetViews>
  <sheetFormatPr defaultRowHeight="14.25" x14ac:dyDescent="0.45"/>
  <sheetData>
    <row r="1" spans="1:9" x14ac:dyDescent="0.45">
      <c r="A1" t="s">
        <v>0</v>
      </c>
      <c r="B1" t="s">
        <v>1</v>
      </c>
      <c r="C1" t="s">
        <v>2</v>
      </c>
      <c r="D1" t="s">
        <v>3</v>
      </c>
      <c r="E1" t="s">
        <v>4</v>
      </c>
      <c r="F1" t="s">
        <v>5</v>
      </c>
      <c r="G1" t="s">
        <v>6</v>
      </c>
      <c r="H1" t="s">
        <v>7</v>
      </c>
      <c r="I1" t="s">
        <v>8</v>
      </c>
    </row>
    <row r="2" spans="1:9" x14ac:dyDescent="0.45">
      <c r="A2" t="s">
        <v>9</v>
      </c>
      <c r="B2" t="s">
        <v>10</v>
      </c>
      <c r="C2" t="s">
        <v>11</v>
      </c>
      <c r="D2" t="s">
        <v>12</v>
      </c>
      <c r="E2" t="s">
        <v>13</v>
      </c>
      <c r="F2">
        <v>32</v>
      </c>
      <c r="G2">
        <v>8657</v>
      </c>
      <c r="H2">
        <v>7</v>
      </c>
      <c r="I2">
        <v>97</v>
      </c>
    </row>
    <row r="3" spans="1:9" x14ac:dyDescent="0.45">
      <c r="A3" t="s">
        <v>14</v>
      </c>
      <c r="B3" t="s">
        <v>15</v>
      </c>
      <c r="C3" t="s">
        <v>11</v>
      </c>
      <c r="D3" t="s">
        <v>16</v>
      </c>
      <c r="E3" t="s">
        <v>17</v>
      </c>
      <c r="F3">
        <v>4</v>
      </c>
      <c r="G3">
        <v>6535</v>
      </c>
      <c r="H3">
        <v>8</v>
      </c>
      <c r="I3">
        <v>64</v>
      </c>
    </row>
    <row r="4" spans="1:9" x14ac:dyDescent="0.45">
      <c r="A4" t="s">
        <v>18</v>
      </c>
      <c r="B4" t="s">
        <v>19</v>
      </c>
      <c r="C4" t="s">
        <v>11</v>
      </c>
      <c r="D4" t="s">
        <v>20</v>
      </c>
      <c r="E4" t="s">
        <v>17</v>
      </c>
      <c r="F4">
        <v>84</v>
      </c>
      <c r="G4">
        <v>16490</v>
      </c>
      <c r="H4">
        <v>13</v>
      </c>
      <c r="I4">
        <v>76</v>
      </c>
    </row>
    <row r="5" spans="1:9" x14ac:dyDescent="0.45">
      <c r="A5" t="s">
        <v>21</v>
      </c>
      <c r="B5" t="s">
        <v>22</v>
      </c>
      <c r="C5" t="s">
        <v>23</v>
      </c>
      <c r="D5" t="s">
        <v>16</v>
      </c>
      <c r="E5" t="s">
        <v>17</v>
      </c>
      <c r="F5">
        <v>1</v>
      </c>
      <c r="G5">
        <v>1754</v>
      </c>
      <c r="H5">
        <v>1</v>
      </c>
      <c r="I5">
        <v>94</v>
      </c>
    </row>
    <row r="6" spans="1:9" x14ac:dyDescent="0.45">
      <c r="A6" t="s">
        <v>24</v>
      </c>
      <c r="B6" t="s">
        <v>25</v>
      </c>
      <c r="C6" t="s">
        <v>26</v>
      </c>
      <c r="D6" t="s">
        <v>27</v>
      </c>
      <c r="E6" t="s">
        <v>17</v>
      </c>
      <c r="F6">
        <v>44</v>
      </c>
      <c r="G6">
        <v>1837</v>
      </c>
      <c r="H6">
        <v>3</v>
      </c>
      <c r="I6">
        <v>74</v>
      </c>
    </row>
    <row r="7" spans="1:9" x14ac:dyDescent="0.45">
      <c r="A7" t="s">
        <v>28</v>
      </c>
      <c r="B7" t="s">
        <v>15</v>
      </c>
      <c r="C7" t="s">
        <v>26</v>
      </c>
      <c r="D7" t="s">
        <v>29</v>
      </c>
      <c r="E7" t="s">
        <v>13</v>
      </c>
      <c r="F7">
        <v>6</v>
      </c>
      <c r="G7">
        <v>6977</v>
      </c>
      <c r="H7">
        <v>9</v>
      </c>
      <c r="I7">
        <v>84</v>
      </c>
    </row>
    <row r="8" spans="1:9" x14ac:dyDescent="0.45">
      <c r="A8" t="s">
        <v>30</v>
      </c>
      <c r="B8" t="s">
        <v>15</v>
      </c>
      <c r="C8" t="s">
        <v>23</v>
      </c>
      <c r="D8" t="s">
        <v>31</v>
      </c>
      <c r="E8" t="s">
        <v>13</v>
      </c>
      <c r="F8">
        <v>81</v>
      </c>
      <c r="G8">
        <v>1466</v>
      </c>
      <c r="H8">
        <v>2</v>
      </c>
      <c r="I8">
        <v>86</v>
      </c>
    </row>
    <row r="9" spans="1:9" x14ac:dyDescent="0.45">
      <c r="A9" t="s">
        <v>32</v>
      </c>
      <c r="B9" t="s">
        <v>22</v>
      </c>
      <c r="C9" t="s">
        <v>11</v>
      </c>
      <c r="D9" t="s">
        <v>12</v>
      </c>
      <c r="E9" t="s">
        <v>13</v>
      </c>
      <c r="F9">
        <v>38</v>
      </c>
      <c r="G9">
        <v>6307</v>
      </c>
      <c r="H9">
        <v>8</v>
      </c>
      <c r="I9">
        <v>56</v>
      </c>
    </row>
    <row r="10" spans="1:9" x14ac:dyDescent="0.45">
      <c r="A10" t="s">
        <v>33</v>
      </c>
      <c r="B10" t="s">
        <v>25</v>
      </c>
      <c r="C10" t="s">
        <v>26</v>
      </c>
      <c r="D10" t="s">
        <v>34</v>
      </c>
      <c r="E10" t="s">
        <v>13</v>
      </c>
      <c r="F10">
        <v>47</v>
      </c>
      <c r="G10">
        <v>2332</v>
      </c>
      <c r="H10">
        <v>7</v>
      </c>
      <c r="I10">
        <v>72</v>
      </c>
    </row>
    <row r="11" spans="1:9" x14ac:dyDescent="0.45">
      <c r="A11" t="s">
        <v>35</v>
      </c>
      <c r="B11" t="s">
        <v>22</v>
      </c>
      <c r="C11" t="s">
        <v>26</v>
      </c>
      <c r="D11" t="s">
        <v>31</v>
      </c>
      <c r="E11" t="s">
        <v>13</v>
      </c>
      <c r="F11">
        <v>22</v>
      </c>
      <c r="G11">
        <v>5375</v>
      </c>
      <c r="H11">
        <v>5</v>
      </c>
      <c r="I11">
        <v>60</v>
      </c>
    </row>
    <row r="12" spans="1:9" x14ac:dyDescent="0.45">
      <c r="A12" t="s">
        <v>36</v>
      </c>
      <c r="B12" t="s">
        <v>25</v>
      </c>
      <c r="C12" t="s">
        <v>23</v>
      </c>
      <c r="D12" t="s">
        <v>27</v>
      </c>
      <c r="E12" t="s">
        <v>37</v>
      </c>
      <c r="F12">
        <v>82</v>
      </c>
      <c r="G12">
        <v>1609</v>
      </c>
      <c r="H12">
        <v>3</v>
      </c>
      <c r="I12">
        <v>64</v>
      </c>
    </row>
    <row r="13" spans="1:9" x14ac:dyDescent="0.45">
      <c r="A13" t="s">
        <v>38</v>
      </c>
      <c r="B13" t="s">
        <v>10</v>
      </c>
      <c r="C13" t="s">
        <v>26</v>
      </c>
      <c r="D13" t="s">
        <v>12</v>
      </c>
      <c r="E13" t="s">
        <v>17</v>
      </c>
      <c r="F13">
        <v>5</v>
      </c>
      <c r="G13">
        <v>3584</v>
      </c>
      <c r="H13">
        <v>8</v>
      </c>
      <c r="I13">
        <v>67</v>
      </c>
    </row>
    <row r="14" spans="1:9" x14ac:dyDescent="0.45">
      <c r="A14" t="s">
        <v>39</v>
      </c>
      <c r="B14" t="s">
        <v>15</v>
      </c>
      <c r="C14" t="s">
        <v>40</v>
      </c>
      <c r="D14" t="s">
        <v>16</v>
      </c>
      <c r="E14" t="s">
        <v>13</v>
      </c>
      <c r="F14">
        <v>41</v>
      </c>
      <c r="G14">
        <v>2241</v>
      </c>
      <c r="H14">
        <v>4</v>
      </c>
      <c r="I14">
        <v>75</v>
      </c>
    </row>
    <row r="15" spans="1:9" x14ac:dyDescent="0.45">
      <c r="A15" t="s">
        <v>41</v>
      </c>
      <c r="B15" t="s">
        <v>10</v>
      </c>
      <c r="C15" t="s">
        <v>23</v>
      </c>
      <c r="D15" t="s">
        <v>42</v>
      </c>
      <c r="E15" t="s">
        <v>17</v>
      </c>
      <c r="F15">
        <v>32</v>
      </c>
      <c r="G15">
        <v>1725</v>
      </c>
      <c r="H15">
        <v>3</v>
      </c>
      <c r="I15">
        <v>84</v>
      </c>
    </row>
    <row r="16" spans="1:9" x14ac:dyDescent="0.45">
      <c r="A16" t="s">
        <v>43</v>
      </c>
      <c r="B16" t="s">
        <v>44</v>
      </c>
      <c r="C16" t="s">
        <v>23</v>
      </c>
      <c r="D16" t="s">
        <v>16</v>
      </c>
      <c r="E16" t="s">
        <v>17</v>
      </c>
      <c r="F16">
        <v>29</v>
      </c>
      <c r="G16">
        <v>483</v>
      </c>
      <c r="H16">
        <v>3</v>
      </c>
      <c r="I16">
        <v>81</v>
      </c>
    </row>
    <row r="17" spans="1:9" x14ac:dyDescent="0.45">
      <c r="A17" t="s">
        <v>45</v>
      </c>
      <c r="B17" t="s">
        <v>15</v>
      </c>
      <c r="C17" t="s">
        <v>11</v>
      </c>
      <c r="D17" t="s">
        <v>31</v>
      </c>
      <c r="E17" t="s">
        <v>17</v>
      </c>
      <c r="F17">
        <v>21</v>
      </c>
      <c r="G17">
        <v>17977</v>
      </c>
      <c r="H17">
        <v>15</v>
      </c>
      <c r="I17">
        <v>77</v>
      </c>
    </row>
    <row r="18" spans="1:9" x14ac:dyDescent="0.45">
      <c r="A18" t="s">
        <v>46</v>
      </c>
      <c r="B18" t="s">
        <v>19</v>
      </c>
      <c r="C18" t="s">
        <v>11</v>
      </c>
      <c r="D18" t="s">
        <v>47</v>
      </c>
      <c r="E18" t="s">
        <v>17</v>
      </c>
      <c r="F18">
        <v>60</v>
      </c>
      <c r="G18">
        <v>13669</v>
      </c>
      <c r="H18">
        <v>9</v>
      </c>
      <c r="I18">
        <v>85</v>
      </c>
    </row>
    <row r="19" spans="1:9" x14ac:dyDescent="0.45">
      <c r="A19" t="s">
        <v>48</v>
      </c>
      <c r="B19" t="s">
        <v>49</v>
      </c>
      <c r="C19" t="s">
        <v>11</v>
      </c>
      <c r="D19" t="s">
        <v>31</v>
      </c>
      <c r="E19" t="s">
        <v>13</v>
      </c>
      <c r="F19">
        <v>69</v>
      </c>
      <c r="G19">
        <v>17302</v>
      </c>
      <c r="H19">
        <v>9</v>
      </c>
      <c r="I19">
        <v>99</v>
      </c>
    </row>
    <row r="20" spans="1:9" x14ac:dyDescent="0.45">
      <c r="A20" t="s">
        <v>50</v>
      </c>
      <c r="B20" t="s">
        <v>10</v>
      </c>
      <c r="C20" t="s">
        <v>26</v>
      </c>
      <c r="D20" t="s">
        <v>31</v>
      </c>
      <c r="E20" t="s">
        <v>17</v>
      </c>
      <c r="F20">
        <v>21</v>
      </c>
      <c r="G20">
        <v>4716</v>
      </c>
      <c r="H20">
        <v>2</v>
      </c>
      <c r="I20">
        <v>96</v>
      </c>
    </row>
    <row r="21" spans="1:9" x14ac:dyDescent="0.45">
      <c r="A21" t="s">
        <v>51</v>
      </c>
      <c r="B21" t="s">
        <v>10</v>
      </c>
      <c r="C21" t="s">
        <v>26</v>
      </c>
      <c r="D21" t="s">
        <v>20</v>
      </c>
      <c r="E21" t="s">
        <v>13</v>
      </c>
      <c r="F21">
        <v>65</v>
      </c>
      <c r="G21">
        <v>1871</v>
      </c>
      <c r="H21">
        <v>6</v>
      </c>
      <c r="I21">
        <v>90</v>
      </c>
    </row>
    <row r="22" spans="1:9" x14ac:dyDescent="0.45">
      <c r="A22" t="s">
        <v>52</v>
      </c>
      <c r="B22" t="s">
        <v>19</v>
      </c>
      <c r="C22" t="s">
        <v>40</v>
      </c>
      <c r="D22" t="s">
        <v>42</v>
      </c>
      <c r="E22" t="s">
        <v>17</v>
      </c>
      <c r="F22">
        <v>21</v>
      </c>
      <c r="G22">
        <v>4918</v>
      </c>
      <c r="H22">
        <v>5</v>
      </c>
      <c r="I22">
        <v>50</v>
      </c>
    </row>
    <row r="23" spans="1:9" x14ac:dyDescent="0.45">
      <c r="A23" t="s">
        <v>53</v>
      </c>
      <c r="B23" t="s">
        <v>19</v>
      </c>
      <c r="C23" t="s">
        <v>26</v>
      </c>
      <c r="D23" t="s">
        <v>34</v>
      </c>
      <c r="E23" t="s">
        <v>17</v>
      </c>
      <c r="F23">
        <v>47</v>
      </c>
      <c r="G23">
        <v>3519</v>
      </c>
      <c r="H23">
        <v>5</v>
      </c>
      <c r="I23">
        <v>53</v>
      </c>
    </row>
    <row r="24" spans="1:9" x14ac:dyDescent="0.45">
      <c r="A24" t="s">
        <v>54</v>
      </c>
      <c r="B24" t="s">
        <v>22</v>
      </c>
      <c r="C24" t="s">
        <v>11</v>
      </c>
      <c r="D24" t="s">
        <v>31</v>
      </c>
      <c r="E24" t="s">
        <v>13</v>
      </c>
      <c r="F24">
        <v>9</v>
      </c>
      <c r="G24">
        <v>17461</v>
      </c>
      <c r="H24">
        <v>13</v>
      </c>
      <c r="I24">
        <v>99</v>
      </c>
    </row>
    <row r="25" spans="1:9" x14ac:dyDescent="0.45">
      <c r="A25" t="s">
        <v>55</v>
      </c>
      <c r="B25" t="s">
        <v>22</v>
      </c>
      <c r="C25" t="s">
        <v>40</v>
      </c>
      <c r="D25" t="s">
        <v>34</v>
      </c>
      <c r="E25" t="s">
        <v>13</v>
      </c>
      <c r="F25">
        <v>22</v>
      </c>
      <c r="G25">
        <v>2671</v>
      </c>
      <c r="H25">
        <v>5</v>
      </c>
      <c r="I25">
        <v>88</v>
      </c>
    </row>
    <row r="26" spans="1:9" x14ac:dyDescent="0.45">
      <c r="A26" t="s">
        <v>56</v>
      </c>
      <c r="B26" t="s">
        <v>25</v>
      </c>
      <c r="C26" t="s">
        <v>40</v>
      </c>
      <c r="D26" t="s">
        <v>20</v>
      </c>
      <c r="E26" t="s">
        <v>13</v>
      </c>
      <c r="F26">
        <v>89</v>
      </c>
      <c r="G26">
        <v>2147</v>
      </c>
      <c r="H26">
        <v>3</v>
      </c>
      <c r="I26">
        <v>75</v>
      </c>
    </row>
    <row r="27" spans="1:9" x14ac:dyDescent="0.45">
      <c r="A27" t="s">
        <v>57</v>
      </c>
      <c r="B27" t="s">
        <v>10</v>
      </c>
      <c r="C27" t="s">
        <v>26</v>
      </c>
      <c r="D27" t="s">
        <v>34</v>
      </c>
      <c r="E27" t="s">
        <v>13</v>
      </c>
      <c r="F27">
        <v>58</v>
      </c>
      <c r="G27">
        <v>1991</v>
      </c>
      <c r="H27">
        <v>5</v>
      </c>
      <c r="I27">
        <v>64</v>
      </c>
    </row>
    <row r="28" spans="1:9" x14ac:dyDescent="0.45">
      <c r="A28" t="s">
        <v>58</v>
      </c>
      <c r="B28" t="s">
        <v>15</v>
      </c>
      <c r="C28" t="s">
        <v>26</v>
      </c>
      <c r="D28" t="s">
        <v>12</v>
      </c>
      <c r="E28" t="s">
        <v>13</v>
      </c>
      <c r="F28">
        <v>30</v>
      </c>
      <c r="G28">
        <v>5820</v>
      </c>
      <c r="H28">
        <v>5</v>
      </c>
      <c r="I28">
        <v>50</v>
      </c>
    </row>
    <row r="29" spans="1:9" x14ac:dyDescent="0.45">
      <c r="A29" t="s">
        <v>59</v>
      </c>
      <c r="B29" t="s">
        <v>15</v>
      </c>
      <c r="C29" t="s">
        <v>11</v>
      </c>
      <c r="D29" t="s">
        <v>60</v>
      </c>
      <c r="E29" t="s">
        <v>17</v>
      </c>
      <c r="F29">
        <v>5</v>
      </c>
      <c r="G29">
        <v>19084</v>
      </c>
      <c r="H29">
        <v>10</v>
      </c>
      <c r="I29">
        <v>54</v>
      </c>
    </row>
    <row r="30" spans="1:9" x14ac:dyDescent="0.45">
      <c r="A30" t="s">
        <v>61</v>
      </c>
      <c r="B30" t="s">
        <v>19</v>
      </c>
      <c r="C30" t="s">
        <v>40</v>
      </c>
      <c r="D30" t="s">
        <v>27</v>
      </c>
      <c r="E30" t="s">
        <v>13</v>
      </c>
      <c r="F30">
        <v>28</v>
      </c>
      <c r="G30">
        <v>4917</v>
      </c>
      <c r="H30">
        <v>2</v>
      </c>
      <c r="I30">
        <v>96</v>
      </c>
    </row>
    <row r="31" spans="1:9" x14ac:dyDescent="0.45">
      <c r="A31" t="s">
        <v>62</v>
      </c>
      <c r="B31" t="s">
        <v>19</v>
      </c>
      <c r="C31" t="s">
        <v>23</v>
      </c>
      <c r="D31" t="s">
        <v>60</v>
      </c>
      <c r="E31" t="s">
        <v>13</v>
      </c>
      <c r="F31">
        <v>53</v>
      </c>
      <c r="G31">
        <v>589</v>
      </c>
      <c r="H31">
        <v>1</v>
      </c>
      <c r="I31">
        <v>56</v>
      </c>
    </row>
    <row r="32" spans="1:9" x14ac:dyDescent="0.45">
      <c r="A32" t="s">
        <v>63</v>
      </c>
      <c r="B32" t="s">
        <v>10</v>
      </c>
      <c r="C32" t="s">
        <v>23</v>
      </c>
      <c r="D32" t="s">
        <v>29</v>
      </c>
      <c r="E32" t="s">
        <v>17</v>
      </c>
      <c r="F32">
        <v>60</v>
      </c>
      <c r="G32">
        <v>1969</v>
      </c>
      <c r="H32">
        <v>3</v>
      </c>
      <c r="I32">
        <v>53</v>
      </c>
    </row>
    <row r="33" spans="1:9" x14ac:dyDescent="0.45">
      <c r="A33" t="s">
        <v>64</v>
      </c>
      <c r="B33" t="s">
        <v>10</v>
      </c>
      <c r="C33" t="s">
        <v>11</v>
      </c>
      <c r="D33" t="s">
        <v>12</v>
      </c>
      <c r="E33" t="s">
        <v>17</v>
      </c>
      <c r="F33">
        <v>44</v>
      </c>
      <c r="G33">
        <v>18116</v>
      </c>
      <c r="H33">
        <v>6</v>
      </c>
      <c r="I33">
        <v>65</v>
      </c>
    </row>
    <row r="34" spans="1:9" x14ac:dyDescent="0.45">
      <c r="A34" t="s">
        <v>65</v>
      </c>
      <c r="B34" t="s">
        <v>22</v>
      </c>
      <c r="C34" t="s">
        <v>40</v>
      </c>
      <c r="D34" t="s">
        <v>20</v>
      </c>
      <c r="E34" t="s">
        <v>17</v>
      </c>
      <c r="F34">
        <v>55</v>
      </c>
      <c r="G34">
        <v>2003</v>
      </c>
      <c r="H34">
        <v>3</v>
      </c>
      <c r="I34">
        <v>79</v>
      </c>
    </row>
    <row r="35" spans="1:9" x14ac:dyDescent="0.45">
      <c r="A35" t="s">
        <v>66</v>
      </c>
      <c r="B35" t="s">
        <v>22</v>
      </c>
      <c r="C35" t="s">
        <v>11</v>
      </c>
      <c r="D35" t="s">
        <v>34</v>
      </c>
      <c r="E35" t="s">
        <v>13</v>
      </c>
      <c r="F35">
        <v>71</v>
      </c>
      <c r="G35">
        <v>6604</v>
      </c>
      <c r="H35">
        <v>5</v>
      </c>
      <c r="I35">
        <v>91</v>
      </c>
    </row>
    <row r="36" spans="1:9" x14ac:dyDescent="0.45">
      <c r="A36" t="s">
        <v>67</v>
      </c>
      <c r="B36" t="s">
        <v>19</v>
      </c>
      <c r="C36" t="s">
        <v>11</v>
      </c>
      <c r="D36" t="s">
        <v>31</v>
      </c>
      <c r="E36" t="s">
        <v>13</v>
      </c>
      <c r="F36">
        <v>31</v>
      </c>
      <c r="G36">
        <v>7724</v>
      </c>
      <c r="H36">
        <v>11</v>
      </c>
      <c r="I36">
        <v>81</v>
      </c>
    </row>
    <row r="37" spans="1:9" x14ac:dyDescent="0.45">
      <c r="A37" t="s">
        <v>68</v>
      </c>
      <c r="B37" t="s">
        <v>25</v>
      </c>
      <c r="C37" t="s">
        <v>40</v>
      </c>
      <c r="D37" t="s">
        <v>47</v>
      </c>
      <c r="E37" t="s">
        <v>13</v>
      </c>
      <c r="F37">
        <v>22</v>
      </c>
      <c r="G37">
        <v>3604</v>
      </c>
      <c r="H37">
        <v>1</v>
      </c>
      <c r="I37">
        <v>74</v>
      </c>
    </row>
    <row r="38" spans="1:9" x14ac:dyDescent="0.45">
      <c r="A38" t="s">
        <v>69</v>
      </c>
      <c r="B38" t="s">
        <v>44</v>
      </c>
      <c r="C38" t="s">
        <v>23</v>
      </c>
      <c r="D38" t="s">
        <v>27</v>
      </c>
      <c r="E38" t="s">
        <v>17</v>
      </c>
      <c r="F38">
        <v>72</v>
      </c>
      <c r="G38">
        <v>1555</v>
      </c>
      <c r="H38">
        <v>3</v>
      </c>
      <c r="I38">
        <v>81</v>
      </c>
    </row>
    <row r="39" spans="1:9" x14ac:dyDescent="0.45">
      <c r="A39" t="s">
        <v>70</v>
      </c>
      <c r="B39" t="s">
        <v>22</v>
      </c>
      <c r="C39" t="s">
        <v>40</v>
      </c>
      <c r="D39" t="s">
        <v>27</v>
      </c>
      <c r="E39" t="s">
        <v>17</v>
      </c>
      <c r="F39">
        <v>8</v>
      </c>
      <c r="G39">
        <v>4941</v>
      </c>
      <c r="H39">
        <v>1</v>
      </c>
      <c r="I39">
        <v>97</v>
      </c>
    </row>
    <row r="40" spans="1:9" x14ac:dyDescent="0.45">
      <c r="A40" t="s">
        <v>71</v>
      </c>
      <c r="B40" t="s">
        <v>44</v>
      </c>
      <c r="C40" t="s">
        <v>11</v>
      </c>
      <c r="D40" t="s">
        <v>12</v>
      </c>
      <c r="E40" t="s">
        <v>13</v>
      </c>
      <c r="F40">
        <v>65</v>
      </c>
      <c r="G40">
        <v>18970</v>
      </c>
      <c r="H40">
        <v>13</v>
      </c>
      <c r="I40">
        <v>60</v>
      </c>
    </row>
    <row r="41" spans="1:9" x14ac:dyDescent="0.45">
      <c r="A41" t="s">
        <v>72</v>
      </c>
      <c r="B41" t="s">
        <v>15</v>
      </c>
      <c r="C41" t="s">
        <v>11</v>
      </c>
      <c r="D41" t="s">
        <v>42</v>
      </c>
      <c r="E41" t="s">
        <v>17</v>
      </c>
      <c r="F41">
        <v>9</v>
      </c>
      <c r="G41">
        <v>16062</v>
      </c>
      <c r="H41">
        <v>8</v>
      </c>
      <c r="I41">
        <v>75</v>
      </c>
    </row>
    <row r="42" spans="1:9" x14ac:dyDescent="0.45">
      <c r="A42" t="s">
        <v>73</v>
      </c>
      <c r="B42" t="s">
        <v>15</v>
      </c>
      <c r="C42" t="s">
        <v>40</v>
      </c>
      <c r="D42" t="s">
        <v>16</v>
      </c>
      <c r="E42" t="s">
        <v>13</v>
      </c>
      <c r="F42">
        <v>80</v>
      </c>
      <c r="G42">
        <v>1171</v>
      </c>
      <c r="H42">
        <v>4</v>
      </c>
      <c r="I42">
        <v>92</v>
      </c>
    </row>
    <row r="43" spans="1:9" x14ac:dyDescent="0.45">
      <c r="A43" t="s">
        <v>74</v>
      </c>
      <c r="B43" t="s">
        <v>19</v>
      </c>
      <c r="C43" t="s">
        <v>26</v>
      </c>
      <c r="D43" t="s">
        <v>27</v>
      </c>
      <c r="E43" t="s">
        <v>17</v>
      </c>
      <c r="F43">
        <v>41</v>
      </c>
      <c r="G43">
        <v>2955</v>
      </c>
      <c r="H43">
        <v>6</v>
      </c>
      <c r="I43">
        <v>75</v>
      </c>
    </row>
    <row r="44" spans="1:9" x14ac:dyDescent="0.45">
      <c r="A44" t="s">
        <v>75</v>
      </c>
      <c r="B44" t="s">
        <v>22</v>
      </c>
      <c r="C44" t="s">
        <v>26</v>
      </c>
      <c r="D44" t="s">
        <v>34</v>
      </c>
      <c r="E44" t="s">
        <v>17</v>
      </c>
      <c r="F44">
        <v>10</v>
      </c>
      <c r="G44">
        <v>1076</v>
      </c>
      <c r="H44">
        <v>9</v>
      </c>
      <c r="I44">
        <v>89</v>
      </c>
    </row>
    <row r="45" spans="1:9" x14ac:dyDescent="0.45">
      <c r="A45" t="s">
        <v>76</v>
      </c>
      <c r="B45" t="s">
        <v>19</v>
      </c>
      <c r="C45" t="s">
        <v>11</v>
      </c>
      <c r="D45" t="s">
        <v>31</v>
      </c>
      <c r="E45" t="s">
        <v>13</v>
      </c>
      <c r="F45">
        <v>65</v>
      </c>
      <c r="G45">
        <v>9345</v>
      </c>
      <c r="H45">
        <v>7</v>
      </c>
      <c r="I45">
        <v>72</v>
      </c>
    </row>
    <row r="46" spans="1:9" x14ac:dyDescent="0.45">
      <c r="A46" t="s">
        <v>77</v>
      </c>
      <c r="B46" t="s">
        <v>15</v>
      </c>
      <c r="C46" t="s">
        <v>40</v>
      </c>
      <c r="D46" t="s">
        <v>29</v>
      </c>
      <c r="E46" t="s">
        <v>17</v>
      </c>
      <c r="F46">
        <v>57</v>
      </c>
      <c r="G46">
        <v>4950</v>
      </c>
      <c r="H46">
        <v>3</v>
      </c>
      <c r="I46">
        <v>89</v>
      </c>
    </row>
    <row r="47" spans="1:9" x14ac:dyDescent="0.45">
      <c r="A47" t="s">
        <v>78</v>
      </c>
      <c r="B47" t="s">
        <v>49</v>
      </c>
      <c r="C47" t="s">
        <v>11</v>
      </c>
      <c r="D47" t="s">
        <v>20</v>
      </c>
      <c r="E47" t="s">
        <v>17</v>
      </c>
      <c r="F47">
        <v>85</v>
      </c>
      <c r="G47">
        <v>6697</v>
      </c>
      <c r="H47">
        <v>7</v>
      </c>
      <c r="I47">
        <v>66</v>
      </c>
    </row>
    <row r="48" spans="1:9" x14ac:dyDescent="0.45">
      <c r="A48" t="s">
        <v>79</v>
      </c>
      <c r="B48" t="s">
        <v>15</v>
      </c>
      <c r="C48" t="s">
        <v>11</v>
      </c>
      <c r="D48" t="s">
        <v>20</v>
      </c>
      <c r="E48" t="s">
        <v>17</v>
      </c>
      <c r="F48">
        <v>37</v>
      </c>
      <c r="G48">
        <v>14909</v>
      </c>
      <c r="H48">
        <v>8</v>
      </c>
      <c r="I48">
        <v>95</v>
      </c>
    </row>
    <row r="49" spans="1:9" x14ac:dyDescent="0.45">
      <c r="A49" t="s">
        <v>80</v>
      </c>
      <c r="B49" t="s">
        <v>44</v>
      </c>
      <c r="C49" t="s">
        <v>40</v>
      </c>
      <c r="D49" t="s">
        <v>27</v>
      </c>
      <c r="E49" t="s">
        <v>13</v>
      </c>
      <c r="F49">
        <v>33</v>
      </c>
      <c r="G49">
        <v>916</v>
      </c>
      <c r="H49">
        <v>1</v>
      </c>
      <c r="I49">
        <v>90</v>
      </c>
    </row>
    <row r="50" spans="1:9" x14ac:dyDescent="0.45">
      <c r="A50" t="s">
        <v>81</v>
      </c>
      <c r="B50" t="s">
        <v>25</v>
      </c>
      <c r="C50" t="s">
        <v>26</v>
      </c>
      <c r="D50" t="s">
        <v>12</v>
      </c>
      <c r="E50" t="s">
        <v>17</v>
      </c>
      <c r="F50">
        <v>17</v>
      </c>
      <c r="G50">
        <v>6219</v>
      </c>
      <c r="H50">
        <v>6</v>
      </c>
      <c r="I50">
        <v>60</v>
      </c>
    </row>
    <row r="51" spans="1:9" x14ac:dyDescent="0.45">
      <c r="A51" t="s">
        <v>82</v>
      </c>
      <c r="B51" t="s">
        <v>10</v>
      </c>
      <c r="C51" t="s">
        <v>23</v>
      </c>
      <c r="D51" t="s">
        <v>20</v>
      </c>
      <c r="E51" t="s">
        <v>13</v>
      </c>
      <c r="F51">
        <v>72</v>
      </c>
      <c r="G51">
        <v>219</v>
      </c>
      <c r="H51">
        <v>1</v>
      </c>
      <c r="I51">
        <v>54</v>
      </c>
    </row>
    <row r="52" spans="1:9" x14ac:dyDescent="0.45">
      <c r="A52" t="s">
        <v>83</v>
      </c>
      <c r="B52" t="s">
        <v>10</v>
      </c>
      <c r="C52" t="s">
        <v>40</v>
      </c>
      <c r="D52" t="s">
        <v>20</v>
      </c>
      <c r="E52" t="s">
        <v>17</v>
      </c>
      <c r="F52">
        <v>48</v>
      </c>
      <c r="G52">
        <v>1713</v>
      </c>
      <c r="H52">
        <v>4</v>
      </c>
      <c r="I52">
        <v>58</v>
      </c>
    </row>
    <row r="53" spans="1:9" x14ac:dyDescent="0.45">
      <c r="A53" t="s">
        <v>84</v>
      </c>
      <c r="B53" t="s">
        <v>15</v>
      </c>
      <c r="C53" t="s">
        <v>26</v>
      </c>
      <c r="D53" t="s">
        <v>29</v>
      </c>
      <c r="E53" t="s">
        <v>13</v>
      </c>
      <c r="F53">
        <v>6</v>
      </c>
      <c r="G53">
        <v>3931</v>
      </c>
      <c r="H53">
        <v>5</v>
      </c>
      <c r="I53">
        <v>93</v>
      </c>
    </row>
    <row r="54" spans="1:9" x14ac:dyDescent="0.45">
      <c r="A54" t="s">
        <v>85</v>
      </c>
      <c r="B54" t="s">
        <v>22</v>
      </c>
      <c r="C54" t="s">
        <v>11</v>
      </c>
      <c r="D54" t="s">
        <v>29</v>
      </c>
      <c r="E54" t="s">
        <v>13</v>
      </c>
      <c r="F54">
        <v>53</v>
      </c>
      <c r="G54">
        <v>15168</v>
      </c>
      <c r="H54">
        <v>7</v>
      </c>
      <c r="I54">
        <v>65</v>
      </c>
    </row>
    <row r="55" spans="1:9" x14ac:dyDescent="0.45">
      <c r="A55" t="s">
        <v>86</v>
      </c>
      <c r="B55" t="s">
        <v>49</v>
      </c>
      <c r="C55" t="s">
        <v>40</v>
      </c>
      <c r="D55" t="s">
        <v>42</v>
      </c>
      <c r="E55" t="s">
        <v>13</v>
      </c>
      <c r="F55">
        <v>4</v>
      </c>
      <c r="G55">
        <v>1969</v>
      </c>
      <c r="H55">
        <v>3</v>
      </c>
      <c r="I55">
        <v>100</v>
      </c>
    </row>
    <row r="56" spans="1:9" x14ac:dyDescent="0.45">
      <c r="A56" t="s">
        <v>87</v>
      </c>
      <c r="B56" t="s">
        <v>25</v>
      </c>
      <c r="C56" t="s">
        <v>40</v>
      </c>
      <c r="D56" t="s">
        <v>27</v>
      </c>
      <c r="E56" t="s">
        <v>17</v>
      </c>
      <c r="F56">
        <v>90</v>
      </c>
      <c r="G56">
        <v>1385</v>
      </c>
      <c r="H56">
        <v>4</v>
      </c>
      <c r="I56">
        <v>52</v>
      </c>
    </row>
    <row r="57" spans="1:9" x14ac:dyDescent="0.45">
      <c r="A57" t="s">
        <v>88</v>
      </c>
      <c r="B57" t="s">
        <v>49</v>
      </c>
      <c r="C57" t="s">
        <v>23</v>
      </c>
      <c r="D57" t="s">
        <v>60</v>
      </c>
      <c r="E57" t="s">
        <v>17</v>
      </c>
      <c r="F57">
        <v>59</v>
      </c>
      <c r="G57">
        <v>916</v>
      </c>
      <c r="H57">
        <v>2</v>
      </c>
      <c r="I57">
        <v>100</v>
      </c>
    </row>
    <row r="58" spans="1:9" x14ac:dyDescent="0.45">
      <c r="A58" t="s">
        <v>89</v>
      </c>
      <c r="B58" t="s">
        <v>49</v>
      </c>
      <c r="C58" t="s">
        <v>40</v>
      </c>
      <c r="D58" t="s">
        <v>60</v>
      </c>
      <c r="E58" t="s">
        <v>17</v>
      </c>
      <c r="F58">
        <v>25</v>
      </c>
      <c r="G58">
        <v>3764</v>
      </c>
      <c r="H58">
        <v>3</v>
      </c>
      <c r="I58">
        <v>67</v>
      </c>
    </row>
    <row r="59" spans="1:9" x14ac:dyDescent="0.45">
      <c r="A59" t="s">
        <v>90</v>
      </c>
      <c r="B59" t="s">
        <v>49</v>
      </c>
      <c r="C59" t="s">
        <v>11</v>
      </c>
      <c r="D59" t="s">
        <v>27</v>
      </c>
      <c r="E59" t="s">
        <v>17</v>
      </c>
      <c r="F59">
        <v>66</v>
      </c>
      <c r="G59">
        <v>11548</v>
      </c>
      <c r="H59">
        <v>15</v>
      </c>
      <c r="I59">
        <v>84</v>
      </c>
    </row>
    <row r="60" spans="1:9" x14ac:dyDescent="0.45">
      <c r="A60" t="s">
        <v>91</v>
      </c>
      <c r="B60" t="s">
        <v>44</v>
      </c>
      <c r="C60" t="s">
        <v>11</v>
      </c>
      <c r="D60" t="s">
        <v>31</v>
      </c>
      <c r="E60" t="s">
        <v>13</v>
      </c>
      <c r="F60">
        <v>34</v>
      </c>
      <c r="G60">
        <v>7925</v>
      </c>
      <c r="H60">
        <v>14</v>
      </c>
      <c r="I60">
        <v>66</v>
      </c>
    </row>
    <row r="61" spans="1:9" x14ac:dyDescent="0.45">
      <c r="A61" t="s">
        <v>92</v>
      </c>
      <c r="B61" t="s">
        <v>15</v>
      </c>
      <c r="C61" t="s">
        <v>11</v>
      </c>
      <c r="D61" t="s">
        <v>16</v>
      </c>
      <c r="E61" t="s">
        <v>17</v>
      </c>
      <c r="F61">
        <v>41</v>
      </c>
      <c r="G61">
        <v>12149</v>
      </c>
      <c r="H61">
        <v>14</v>
      </c>
      <c r="I61">
        <v>82</v>
      </c>
    </row>
    <row r="62" spans="1:9" x14ac:dyDescent="0.45">
      <c r="A62" t="s">
        <v>93</v>
      </c>
      <c r="B62" t="s">
        <v>15</v>
      </c>
      <c r="C62" t="s">
        <v>23</v>
      </c>
      <c r="D62" t="s">
        <v>16</v>
      </c>
      <c r="E62" t="s">
        <v>17</v>
      </c>
      <c r="F62">
        <v>6</v>
      </c>
      <c r="G62">
        <v>1651</v>
      </c>
      <c r="H62">
        <v>2</v>
      </c>
      <c r="I62">
        <v>50</v>
      </c>
    </row>
    <row r="63" spans="1:9" x14ac:dyDescent="0.45">
      <c r="A63" t="s">
        <v>94</v>
      </c>
      <c r="B63" t="s">
        <v>19</v>
      </c>
      <c r="C63" t="s">
        <v>40</v>
      </c>
      <c r="D63" t="s">
        <v>29</v>
      </c>
      <c r="E63" t="s">
        <v>17</v>
      </c>
      <c r="F63">
        <v>86</v>
      </c>
      <c r="G63">
        <v>3204</v>
      </c>
      <c r="H63">
        <v>5</v>
      </c>
      <c r="I63">
        <v>70</v>
      </c>
    </row>
    <row r="64" spans="1:9" x14ac:dyDescent="0.45">
      <c r="A64" t="s">
        <v>95</v>
      </c>
      <c r="B64" t="s">
        <v>10</v>
      </c>
      <c r="C64" t="s">
        <v>11</v>
      </c>
      <c r="D64" t="s">
        <v>27</v>
      </c>
      <c r="E64" t="s">
        <v>13</v>
      </c>
      <c r="F64">
        <v>86</v>
      </c>
      <c r="G64">
        <v>11691</v>
      </c>
      <c r="H64">
        <v>10</v>
      </c>
      <c r="I64">
        <v>75</v>
      </c>
    </row>
    <row r="65" spans="1:9" x14ac:dyDescent="0.45">
      <c r="A65" t="s">
        <v>96</v>
      </c>
      <c r="B65" t="s">
        <v>10</v>
      </c>
      <c r="C65" t="s">
        <v>26</v>
      </c>
      <c r="D65" t="s">
        <v>20</v>
      </c>
      <c r="E65" t="s">
        <v>17</v>
      </c>
      <c r="F65">
        <v>54</v>
      </c>
      <c r="G65">
        <v>6447</v>
      </c>
      <c r="H65">
        <v>8</v>
      </c>
      <c r="I65">
        <v>93</v>
      </c>
    </row>
    <row r="66" spans="1:9" x14ac:dyDescent="0.45">
      <c r="A66" t="s">
        <v>97</v>
      </c>
      <c r="B66" t="s">
        <v>10</v>
      </c>
      <c r="C66" t="s">
        <v>40</v>
      </c>
      <c r="D66" t="s">
        <v>16</v>
      </c>
      <c r="E66" t="s">
        <v>13</v>
      </c>
      <c r="F66">
        <v>52</v>
      </c>
      <c r="G66">
        <v>4988</v>
      </c>
      <c r="H66">
        <v>1</v>
      </c>
      <c r="I66">
        <v>69</v>
      </c>
    </row>
    <row r="67" spans="1:9" x14ac:dyDescent="0.45">
      <c r="A67" t="s">
        <v>98</v>
      </c>
      <c r="B67" t="s">
        <v>44</v>
      </c>
      <c r="C67" t="s">
        <v>40</v>
      </c>
      <c r="D67" t="s">
        <v>47</v>
      </c>
      <c r="E67" t="s">
        <v>13</v>
      </c>
      <c r="F67">
        <v>78</v>
      </c>
      <c r="G67">
        <v>3139</v>
      </c>
      <c r="H67">
        <v>4</v>
      </c>
      <c r="I67">
        <v>78</v>
      </c>
    </row>
    <row r="68" spans="1:9" x14ac:dyDescent="0.45">
      <c r="A68" t="s">
        <v>99</v>
      </c>
      <c r="B68" t="s">
        <v>25</v>
      </c>
      <c r="C68" t="s">
        <v>40</v>
      </c>
      <c r="D68" t="s">
        <v>20</v>
      </c>
      <c r="E68" t="s">
        <v>17</v>
      </c>
      <c r="F68">
        <v>22</v>
      </c>
      <c r="G68">
        <v>1194</v>
      </c>
      <c r="H68">
        <v>3</v>
      </c>
      <c r="I68">
        <v>82</v>
      </c>
    </row>
    <row r="69" spans="1:9" x14ac:dyDescent="0.45">
      <c r="A69" t="s">
        <v>100</v>
      </c>
      <c r="B69" t="s">
        <v>10</v>
      </c>
      <c r="C69" t="s">
        <v>26</v>
      </c>
      <c r="D69" t="s">
        <v>31</v>
      </c>
      <c r="E69" t="s">
        <v>13</v>
      </c>
      <c r="F69">
        <v>31</v>
      </c>
      <c r="G69">
        <v>6511</v>
      </c>
      <c r="H69">
        <v>6</v>
      </c>
      <c r="I69">
        <v>64</v>
      </c>
    </row>
    <row r="70" spans="1:9" x14ac:dyDescent="0.45">
      <c r="A70" t="s">
        <v>101</v>
      </c>
      <c r="B70" t="s">
        <v>49</v>
      </c>
      <c r="C70" t="s">
        <v>40</v>
      </c>
      <c r="D70" t="s">
        <v>42</v>
      </c>
      <c r="E70" t="s">
        <v>17</v>
      </c>
      <c r="F70">
        <v>32</v>
      </c>
      <c r="G70">
        <v>4392</v>
      </c>
      <c r="H70">
        <v>5</v>
      </c>
      <c r="I70">
        <v>99</v>
      </c>
    </row>
    <row r="71" spans="1:9" x14ac:dyDescent="0.45">
      <c r="A71" t="s">
        <v>102</v>
      </c>
      <c r="B71" t="s">
        <v>15</v>
      </c>
      <c r="C71" t="s">
        <v>23</v>
      </c>
      <c r="D71" t="s">
        <v>47</v>
      </c>
      <c r="E71" t="s">
        <v>13</v>
      </c>
      <c r="F71">
        <v>74</v>
      </c>
      <c r="G71">
        <v>598</v>
      </c>
      <c r="H71">
        <v>3</v>
      </c>
      <c r="I71">
        <v>94</v>
      </c>
    </row>
    <row r="72" spans="1:9" x14ac:dyDescent="0.45">
      <c r="A72" t="s">
        <v>103</v>
      </c>
      <c r="B72" t="s">
        <v>25</v>
      </c>
      <c r="C72" t="s">
        <v>23</v>
      </c>
      <c r="D72" t="s">
        <v>47</v>
      </c>
      <c r="E72" t="s">
        <v>17</v>
      </c>
      <c r="F72">
        <v>84</v>
      </c>
      <c r="G72">
        <v>1608</v>
      </c>
      <c r="H72">
        <v>1</v>
      </c>
      <c r="I72">
        <v>98</v>
      </c>
    </row>
    <row r="73" spans="1:9" x14ac:dyDescent="0.45">
      <c r="A73" t="s">
        <v>104</v>
      </c>
      <c r="B73" t="s">
        <v>49</v>
      </c>
      <c r="C73" t="s">
        <v>11</v>
      </c>
      <c r="D73" t="s">
        <v>47</v>
      </c>
      <c r="E73" t="s">
        <v>17</v>
      </c>
      <c r="F73">
        <v>90</v>
      </c>
      <c r="G73">
        <v>13486</v>
      </c>
      <c r="H73">
        <v>12</v>
      </c>
      <c r="I73">
        <v>53</v>
      </c>
    </row>
    <row r="74" spans="1:9" x14ac:dyDescent="0.45">
      <c r="A74" t="s">
        <v>105</v>
      </c>
      <c r="B74" t="s">
        <v>19</v>
      </c>
      <c r="C74" t="s">
        <v>40</v>
      </c>
      <c r="D74" t="s">
        <v>31</v>
      </c>
      <c r="E74" t="s">
        <v>17</v>
      </c>
      <c r="F74">
        <v>60</v>
      </c>
      <c r="G74">
        <v>4851</v>
      </c>
      <c r="H74">
        <v>5</v>
      </c>
      <c r="I74">
        <v>88</v>
      </c>
    </row>
    <row r="75" spans="1:9" x14ac:dyDescent="0.45">
      <c r="A75" t="s">
        <v>106</v>
      </c>
      <c r="B75" t="s">
        <v>44</v>
      </c>
      <c r="C75" t="s">
        <v>23</v>
      </c>
      <c r="D75" t="s">
        <v>16</v>
      </c>
      <c r="E75" t="s">
        <v>13</v>
      </c>
      <c r="F75">
        <v>65</v>
      </c>
      <c r="G75">
        <v>1073</v>
      </c>
      <c r="H75">
        <v>3</v>
      </c>
      <c r="I75">
        <v>78</v>
      </c>
    </row>
    <row r="76" spans="1:9" x14ac:dyDescent="0.45">
      <c r="A76" t="s">
        <v>107</v>
      </c>
      <c r="B76" t="s">
        <v>22</v>
      </c>
      <c r="C76" t="s">
        <v>23</v>
      </c>
      <c r="D76" t="s">
        <v>34</v>
      </c>
      <c r="E76" t="s">
        <v>17</v>
      </c>
      <c r="F76">
        <v>32</v>
      </c>
      <c r="G76">
        <v>1920</v>
      </c>
      <c r="H76">
        <v>3</v>
      </c>
      <c r="I76">
        <v>67</v>
      </c>
    </row>
    <row r="77" spans="1:9" x14ac:dyDescent="0.45">
      <c r="A77" t="s">
        <v>108</v>
      </c>
      <c r="B77" t="s">
        <v>49</v>
      </c>
      <c r="C77" t="s">
        <v>23</v>
      </c>
      <c r="D77" t="s">
        <v>60</v>
      </c>
      <c r="E77" t="s">
        <v>17</v>
      </c>
      <c r="F77">
        <v>10</v>
      </c>
      <c r="G77">
        <v>1661</v>
      </c>
      <c r="H77">
        <v>2</v>
      </c>
      <c r="I77">
        <v>65</v>
      </c>
    </row>
    <row r="78" spans="1:9" x14ac:dyDescent="0.45">
      <c r="A78" t="s">
        <v>109</v>
      </c>
      <c r="B78" t="s">
        <v>44</v>
      </c>
      <c r="C78" t="s">
        <v>26</v>
      </c>
      <c r="D78" t="s">
        <v>29</v>
      </c>
      <c r="E78" t="s">
        <v>13</v>
      </c>
      <c r="F78">
        <v>11</v>
      </c>
      <c r="G78">
        <v>2133</v>
      </c>
      <c r="H78">
        <v>4</v>
      </c>
      <c r="I78">
        <v>64</v>
      </c>
    </row>
    <row r="79" spans="1:9" x14ac:dyDescent="0.45">
      <c r="A79" t="s">
        <v>110</v>
      </c>
      <c r="B79" t="s">
        <v>25</v>
      </c>
      <c r="C79" t="s">
        <v>40</v>
      </c>
      <c r="D79" t="s">
        <v>60</v>
      </c>
      <c r="E79" t="s">
        <v>17</v>
      </c>
      <c r="F79">
        <v>53</v>
      </c>
      <c r="G79">
        <v>3210</v>
      </c>
      <c r="H79">
        <v>5</v>
      </c>
      <c r="I79">
        <v>79</v>
      </c>
    </row>
    <row r="80" spans="1:9" x14ac:dyDescent="0.45">
      <c r="A80" t="s">
        <v>111</v>
      </c>
      <c r="B80" t="s">
        <v>25</v>
      </c>
      <c r="C80" t="s">
        <v>11</v>
      </c>
      <c r="D80" t="s">
        <v>60</v>
      </c>
      <c r="E80" t="s">
        <v>13</v>
      </c>
      <c r="F80">
        <v>50</v>
      </c>
      <c r="G80">
        <v>19824</v>
      </c>
      <c r="H80">
        <v>14</v>
      </c>
      <c r="I80">
        <v>94</v>
      </c>
    </row>
    <row r="81" spans="1:9" x14ac:dyDescent="0.45">
      <c r="A81" t="s">
        <v>112</v>
      </c>
      <c r="B81" t="s">
        <v>15</v>
      </c>
      <c r="C81" t="s">
        <v>23</v>
      </c>
      <c r="D81" t="s">
        <v>34</v>
      </c>
      <c r="E81" t="s">
        <v>17</v>
      </c>
      <c r="F81">
        <v>46</v>
      </c>
      <c r="G81">
        <v>811</v>
      </c>
      <c r="H81">
        <v>2</v>
      </c>
      <c r="I81">
        <v>76</v>
      </c>
    </row>
    <row r="82" spans="1:9" x14ac:dyDescent="0.45">
      <c r="A82" t="s">
        <v>113</v>
      </c>
      <c r="B82" t="s">
        <v>19</v>
      </c>
      <c r="C82" t="s">
        <v>40</v>
      </c>
      <c r="D82" t="s">
        <v>34</v>
      </c>
      <c r="E82" t="s">
        <v>17</v>
      </c>
      <c r="F82">
        <v>56</v>
      </c>
      <c r="G82">
        <v>4478</v>
      </c>
      <c r="H82">
        <v>1</v>
      </c>
      <c r="I82">
        <v>74</v>
      </c>
    </row>
    <row r="83" spans="1:9" x14ac:dyDescent="0.45">
      <c r="A83" t="s">
        <v>114</v>
      </c>
      <c r="B83" t="s">
        <v>44</v>
      </c>
      <c r="C83" t="s">
        <v>23</v>
      </c>
      <c r="D83" t="s">
        <v>42</v>
      </c>
      <c r="E83" t="s">
        <v>13</v>
      </c>
      <c r="F83">
        <v>17</v>
      </c>
      <c r="G83">
        <v>1474</v>
      </c>
      <c r="H83">
        <v>3</v>
      </c>
      <c r="I83">
        <v>51</v>
      </c>
    </row>
    <row r="84" spans="1:9" x14ac:dyDescent="0.45">
      <c r="A84" t="s">
        <v>115</v>
      </c>
      <c r="B84" t="s">
        <v>25</v>
      </c>
      <c r="C84" t="s">
        <v>11</v>
      </c>
      <c r="D84" t="s">
        <v>31</v>
      </c>
      <c r="E84" t="s">
        <v>13</v>
      </c>
      <c r="F84">
        <v>18</v>
      </c>
      <c r="G84">
        <v>19202</v>
      </c>
      <c r="H84">
        <v>12</v>
      </c>
      <c r="I84">
        <v>61</v>
      </c>
    </row>
    <row r="85" spans="1:9" x14ac:dyDescent="0.45">
      <c r="A85" t="s">
        <v>116</v>
      </c>
      <c r="B85" t="s">
        <v>15</v>
      </c>
      <c r="C85" t="s">
        <v>26</v>
      </c>
      <c r="D85" t="s">
        <v>47</v>
      </c>
      <c r="E85" t="s">
        <v>17</v>
      </c>
      <c r="F85">
        <v>59</v>
      </c>
      <c r="G85">
        <v>3677</v>
      </c>
      <c r="H85">
        <v>7</v>
      </c>
      <c r="I85">
        <v>98</v>
      </c>
    </row>
    <row r="86" spans="1:9" x14ac:dyDescent="0.45">
      <c r="A86" t="s">
        <v>117</v>
      </c>
      <c r="B86" t="s">
        <v>25</v>
      </c>
      <c r="C86" t="s">
        <v>26</v>
      </c>
      <c r="D86" t="s">
        <v>47</v>
      </c>
      <c r="E86" t="s">
        <v>17</v>
      </c>
      <c r="F86">
        <v>11</v>
      </c>
      <c r="G86">
        <v>4852</v>
      </c>
      <c r="H86">
        <v>2</v>
      </c>
      <c r="I86">
        <v>97</v>
      </c>
    </row>
    <row r="87" spans="1:9" x14ac:dyDescent="0.45">
      <c r="A87" t="s">
        <v>118</v>
      </c>
      <c r="B87" t="s">
        <v>19</v>
      </c>
      <c r="C87" t="s">
        <v>11</v>
      </c>
      <c r="D87" t="s">
        <v>29</v>
      </c>
      <c r="E87" t="s">
        <v>17</v>
      </c>
      <c r="F87">
        <v>9</v>
      </c>
      <c r="G87">
        <v>17799</v>
      </c>
      <c r="H87">
        <v>15</v>
      </c>
      <c r="I87">
        <v>52</v>
      </c>
    </row>
    <row r="88" spans="1:9" x14ac:dyDescent="0.45">
      <c r="A88" t="s">
        <v>119</v>
      </c>
      <c r="B88" t="s">
        <v>49</v>
      </c>
      <c r="C88" t="s">
        <v>11</v>
      </c>
      <c r="D88" t="s">
        <v>60</v>
      </c>
      <c r="E88" t="s">
        <v>17</v>
      </c>
      <c r="F88">
        <v>3</v>
      </c>
      <c r="G88">
        <v>15179</v>
      </c>
      <c r="H88">
        <v>7</v>
      </c>
      <c r="I88">
        <v>65</v>
      </c>
    </row>
    <row r="89" spans="1:9" x14ac:dyDescent="0.45">
      <c r="A89" t="s">
        <v>120</v>
      </c>
      <c r="B89" t="s">
        <v>22</v>
      </c>
      <c r="C89" t="s">
        <v>23</v>
      </c>
      <c r="D89" t="s">
        <v>31</v>
      </c>
      <c r="E89" t="s">
        <v>13</v>
      </c>
      <c r="F89">
        <v>28</v>
      </c>
      <c r="G89">
        <v>1152</v>
      </c>
      <c r="H89">
        <v>3</v>
      </c>
      <c r="I89">
        <v>66</v>
      </c>
    </row>
    <row r="90" spans="1:9" x14ac:dyDescent="0.45">
      <c r="A90" t="s">
        <v>121</v>
      </c>
      <c r="B90" t="s">
        <v>49</v>
      </c>
      <c r="C90" t="s">
        <v>26</v>
      </c>
      <c r="D90" t="s">
        <v>42</v>
      </c>
      <c r="E90" t="s">
        <v>13</v>
      </c>
      <c r="F90">
        <v>15</v>
      </c>
      <c r="G90">
        <v>2341</v>
      </c>
      <c r="H90">
        <v>6</v>
      </c>
      <c r="I90">
        <v>56</v>
      </c>
    </row>
    <row r="91" spans="1:9" x14ac:dyDescent="0.45">
      <c r="A91" t="s">
        <v>122</v>
      </c>
      <c r="B91" t="s">
        <v>19</v>
      </c>
      <c r="C91" t="s">
        <v>11</v>
      </c>
      <c r="D91" t="s">
        <v>27</v>
      </c>
      <c r="E91" t="s">
        <v>13</v>
      </c>
      <c r="F91">
        <v>49</v>
      </c>
      <c r="G91">
        <v>11498</v>
      </c>
      <c r="H91">
        <v>8</v>
      </c>
      <c r="I91">
        <v>54</v>
      </c>
    </row>
    <row r="92" spans="1:9" x14ac:dyDescent="0.45">
      <c r="A92" t="s">
        <v>123</v>
      </c>
      <c r="B92" t="s">
        <v>19</v>
      </c>
      <c r="C92" t="s">
        <v>40</v>
      </c>
      <c r="D92" t="s">
        <v>31</v>
      </c>
      <c r="E92" t="s">
        <v>13</v>
      </c>
      <c r="F92">
        <v>39</v>
      </c>
      <c r="G92">
        <v>1491</v>
      </c>
      <c r="H92">
        <v>5</v>
      </c>
      <c r="I92">
        <v>100</v>
      </c>
    </row>
    <row r="93" spans="1:9" x14ac:dyDescent="0.45">
      <c r="A93" t="s">
        <v>124</v>
      </c>
      <c r="B93" t="s">
        <v>15</v>
      </c>
      <c r="C93" t="s">
        <v>26</v>
      </c>
      <c r="D93" t="s">
        <v>20</v>
      </c>
      <c r="E93" t="s">
        <v>17</v>
      </c>
      <c r="F93">
        <v>48</v>
      </c>
      <c r="G93">
        <v>1564</v>
      </c>
      <c r="H93">
        <v>10</v>
      </c>
      <c r="I93">
        <v>91</v>
      </c>
    </row>
    <row r="94" spans="1:9" x14ac:dyDescent="0.45">
      <c r="A94" t="s">
        <v>125</v>
      </c>
      <c r="B94" t="s">
        <v>44</v>
      </c>
      <c r="C94" t="s">
        <v>11</v>
      </c>
      <c r="D94" t="s">
        <v>47</v>
      </c>
      <c r="E94" t="s">
        <v>13</v>
      </c>
      <c r="F94">
        <v>14</v>
      </c>
      <c r="G94">
        <v>12102</v>
      </c>
      <c r="H94">
        <v>10</v>
      </c>
      <c r="I94">
        <v>90</v>
      </c>
    </row>
    <row r="95" spans="1:9" x14ac:dyDescent="0.45">
      <c r="A95" t="s">
        <v>126</v>
      </c>
      <c r="B95" t="s">
        <v>49</v>
      </c>
      <c r="C95" t="s">
        <v>23</v>
      </c>
      <c r="D95" t="s">
        <v>42</v>
      </c>
      <c r="E95" t="s">
        <v>17</v>
      </c>
      <c r="F95">
        <v>67</v>
      </c>
      <c r="G95">
        <v>1532</v>
      </c>
      <c r="H95">
        <v>2</v>
      </c>
      <c r="I95">
        <v>89</v>
      </c>
    </row>
    <row r="96" spans="1:9" x14ac:dyDescent="0.45">
      <c r="A96" t="s">
        <v>127</v>
      </c>
      <c r="B96" t="s">
        <v>49</v>
      </c>
      <c r="C96" t="s">
        <v>23</v>
      </c>
      <c r="D96" t="s">
        <v>34</v>
      </c>
      <c r="E96" t="s">
        <v>17</v>
      </c>
      <c r="F96">
        <v>76</v>
      </c>
      <c r="G96">
        <v>749</v>
      </c>
      <c r="H96">
        <v>2</v>
      </c>
      <c r="I96">
        <v>65</v>
      </c>
    </row>
    <row r="97" spans="1:9" x14ac:dyDescent="0.45">
      <c r="A97" t="s">
        <v>128</v>
      </c>
      <c r="B97" t="s">
        <v>49</v>
      </c>
      <c r="C97" t="s">
        <v>11</v>
      </c>
      <c r="D97" t="s">
        <v>27</v>
      </c>
      <c r="E97" t="s">
        <v>13</v>
      </c>
      <c r="F97">
        <v>32</v>
      </c>
      <c r="G97">
        <v>17295</v>
      </c>
      <c r="H97">
        <v>12</v>
      </c>
      <c r="I97">
        <v>86</v>
      </c>
    </row>
    <row r="98" spans="1:9" x14ac:dyDescent="0.45">
      <c r="A98" t="s">
        <v>129</v>
      </c>
      <c r="B98" t="s">
        <v>19</v>
      </c>
      <c r="C98" t="s">
        <v>23</v>
      </c>
      <c r="D98" t="s">
        <v>29</v>
      </c>
      <c r="E98" t="s">
        <v>17</v>
      </c>
      <c r="F98">
        <v>42</v>
      </c>
      <c r="G98">
        <v>572</v>
      </c>
      <c r="H98">
        <v>2</v>
      </c>
      <c r="I98">
        <v>63</v>
      </c>
    </row>
    <row r="99" spans="1:9" x14ac:dyDescent="0.45">
      <c r="A99" t="s">
        <v>130</v>
      </c>
      <c r="B99" t="s">
        <v>44</v>
      </c>
      <c r="C99" t="s">
        <v>26</v>
      </c>
      <c r="D99" t="s">
        <v>29</v>
      </c>
      <c r="E99" t="s">
        <v>17</v>
      </c>
      <c r="F99">
        <v>77</v>
      </c>
      <c r="G99">
        <v>6744</v>
      </c>
      <c r="H99">
        <v>6</v>
      </c>
      <c r="I99">
        <v>85</v>
      </c>
    </row>
    <row r="100" spans="1:9" x14ac:dyDescent="0.45">
      <c r="A100" t="s">
        <v>131</v>
      </c>
      <c r="B100" t="s">
        <v>15</v>
      </c>
      <c r="C100" t="s">
        <v>40</v>
      </c>
      <c r="D100" t="s">
        <v>31</v>
      </c>
      <c r="E100" t="s">
        <v>17</v>
      </c>
      <c r="F100">
        <v>53</v>
      </c>
      <c r="G100">
        <v>4502</v>
      </c>
      <c r="H100">
        <v>5</v>
      </c>
      <c r="I100">
        <v>98</v>
      </c>
    </row>
    <row r="101" spans="1:9" x14ac:dyDescent="0.45">
      <c r="A101" t="s">
        <v>132</v>
      </c>
      <c r="B101" t="s">
        <v>22</v>
      </c>
      <c r="C101" t="s">
        <v>23</v>
      </c>
      <c r="D101" t="s">
        <v>34</v>
      </c>
      <c r="E101" t="s">
        <v>17</v>
      </c>
      <c r="F101">
        <v>3</v>
      </c>
      <c r="G101">
        <v>390</v>
      </c>
      <c r="H101">
        <v>2</v>
      </c>
      <c r="I101">
        <v>64</v>
      </c>
    </row>
    <row r="102" spans="1:9" x14ac:dyDescent="0.45">
      <c r="A102" t="s">
        <v>133</v>
      </c>
      <c r="B102" t="s">
        <v>25</v>
      </c>
      <c r="C102" t="s">
        <v>40</v>
      </c>
      <c r="D102" t="s">
        <v>27</v>
      </c>
      <c r="E102" t="s">
        <v>13</v>
      </c>
      <c r="F102">
        <v>48</v>
      </c>
      <c r="G102">
        <v>4376</v>
      </c>
      <c r="H102">
        <v>5</v>
      </c>
      <c r="I102">
        <v>83</v>
      </c>
    </row>
    <row r="103" spans="1:9" x14ac:dyDescent="0.45">
      <c r="A103" t="s">
        <v>134</v>
      </c>
      <c r="B103" t="s">
        <v>44</v>
      </c>
      <c r="C103" t="s">
        <v>23</v>
      </c>
      <c r="D103" t="s">
        <v>20</v>
      </c>
      <c r="E103" t="s">
        <v>17</v>
      </c>
      <c r="F103">
        <v>90</v>
      </c>
      <c r="G103">
        <v>1129</v>
      </c>
      <c r="H103">
        <v>2</v>
      </c>
      <c r="I103">
        <v>69</v>
      </c>
    </row>
    <row r="104" spans="1:9" x14ac:dyDescent="0.45">
      <c r="A104" t="s">
        <v>135</v>
      </c>
      <c r="B104" t="s">
        <v>44</v>
      </c>
      <c r="C104" t="s">
        <v>40</v>
      </c>
      <c r="D104" t="s">
        <v>31</v>
      </c>
      <c r="E104" t="s">
        <v>13</v>
      </c>
      <c r="F104">
        <v>41</v>
      </c>
      <c r="G104">
        <v>1479</v>
      </c>
      <c r="H104">
        <v>5</v>
      </c>
      <c r="I104">
        <v>98</v>
      </c>
    </row>
    <row r="105" spans="1:9" x14ac:dyDescent="0.45">
      <c r="A105" t="s">
        <v>136</v>
      </c>
      <c r="B105" t="s">
        <v>10</v>
      </c>
      <c r="C105" t="s">
        <v>40</v>
      </c>
      <c r="D105" t="s">
        <v>60</v>
      </c>
      <c r="E105" t="s">
        <v>17</v>
      </c>
      <c r="F105">
        <v>62</v>
      </c>
      <c r="G105">
        <v>2765</v>
      </c>
      <c r="H105">
        <v>5</v>
      </c>
      <c r="I105">
        <v>98</v>
      </c>
    </row>
    <row r="106" spans="1:9" x14ac:dyDescent="0.45">
      <c r="A106" t="s">
        <v>137</v>
      </c>
      <c r="B106" t="s">
        <v>19</v>
      </c>
      <c r="C106" t="s">
        <v>26</v>
      </c>
      <c r="D106" t="s">
        <v>31</v>
      </c>
      <c r="E106" t="s">
        <v>13</v>
      </c>
      <c r="F106">
        <v>38</v>
      </c>
      <c r="G106">
        <v>2863</v>
      </c>
      <c r="H106">
        <v>7</v>
      </c>
      <c r="I106">
        <v>61</v>
      </c>
    </row>
    <row r="107" spans="1:9" x14ac:dyDescent="0.45">
      <c r="A107" t="s">
        <v>138</v>
      </c>
      <c r="B107" t="s">
        <v>44</v>
      </c>
      <c r="C107" t="s">
        <v>11</v>
      </c>
      <c r="D107" t="s">
        <v>20</v>
      </c>
      <c r="E107" t="s">
        <v>17</v>
      </c>
      <c r="F107">
        <v>6</v>
      </c>
      <c r="G107">
        <v>5893</v>
      </c>
      <c r="H107">
        <v>13</v>
      </c>
      <c r="I107">
        <v>68</v>
      </c>
    </row>
    <row r="108" spans="1:9" x14ac:dyDescent="0.45">
      <c r="A108" t="s">
        <v>139</v>
      </c>
      <c r="B108" t="s">
        <v>10</v>
      </c>
      <c r="C108" t="s">
        <v>40</v>
      </c>
      <c r="D108" t="s">
        <v>34</v>
      </c>
      <c r="E108" t="s">
        <v>17</v>
      </c>
      <c r="F108">
        <v>2</v>
      </c>
      <c r="G108">
        <v>2829</v>
      </c>
      <c r="H108">
        <v>4</v>
      </c>
      <c r="I108">
        <v>80</v>
      </c>
    </row>
    <row r="109" spans="1:9" x14ac:dyDescent="0.45">
      <c r="A109" t="s">
        <v>140</v>
      </c>
      <c r="B109" t="s">
        <v>25</v>
      </c>
      <c r="C109" t="s">
        <v>26</v>
      </c>
      <c r="D109" t="s">
        <v>42</v>
      </c>
      <c r="E109" t="s">
        <v>13</v>
      </c>
      <c r="F109">
        <v>33</v>
      </c>
      <c r="G109">
        <v>4913</v>
      </c>
      <c r="H109">
        <v>3</v>
      </c>
      <c r="I109">
        <v>54</v>
      </c>
    </row>
    <row r="110" spans="1:9" x14ac:dyDescent="0.45">
      <c r="A110" t="s">
        <v>141</v>
      </c>
      <c r="B110" t="s">
        <v>25</v>
      </c>
      <c r="C110" t="s">
        <v>23</v>
      </c>
      <c r="D110" t="s">
        <v>31</v>
      </c>
      <c r="E110" t="s">
        <v>13</v>
      </c>
      <c r="F110">
        <v>88</v>
      </c>
      <c r="G110">
        <v>309</v>
      </c>
      <c r="H110">
        <v>1</v>
      </c>
      <c r="I110">
        <v>59</v>
      </c>
    </row>
    <row r="111" spans="1:9" x14ac:dyDescent="0.45">
      <c r="A111" t="s">
        <v>142</v>
      </c>
      <c r="B111" t="s">
        <v>49</v>
      </c>
      <c r="C111" t="s">
        <v>26</v>
      </c>
      <c r="D111" t="s">
        <v>31</v>
      </c>
      <c r="E111" t="s">
        <v>37</v>
      </c>
      <c r="F111">
        <v>16</v>
      </c>
      <c r="G111">
        <v>5571</v>
      </c>
      <c r="H111">
        <v>8</v>
      </c>
      <c r="I111">
        <v>88</v>
      </c>
    </row>
    <row r="112" spans="1:9" x14ac:dyDescent="0.45">
      <c r="A112" t="s">
        <v>143</v>
      </c>
      <c r="B112" t="s">
        <v>19</v>
      </c>
      <c r="C112" t="s">
        <v>40</v>
      </c>
      <c r="D112" t="s">
        <v>20</v>
      </c>
      <c r="E112" t="s">
        <v>17</v>
      </c>
      <c r="F112">
        <v>57</v>
      </c>
      <c r="G112">
        <v>2935</v>
      </c>
      <c r="H112">
        <v>5</v>
      </c>
      <c r="I112">
        <v>77</v>
      </c>
    </row>
    <row r="113" spans="1:9" x14ac:dyDescent="0.45">
      <c r="A113" t="s">
        <v>144</v>
      </c>
      <c r="B113" t="s">
        <v>44</v>
      </c>
      <c r="C113" t="s">
        <v>11</v>
      </c>
      <c r="D113" t="s">
        <v>16</v>
      </c>
      <c r="E113" t="s">
        <v>13</v>
      </c>
      <c r="F113">
        <v>13</v>
      </c>
      <c r="G113">
        <v>17496</v>
      </c>
      <c r="H113">
        <v>8</v>
      </c>
      <c r="I113">
        <v>90</v>
      </c>
    </row>
    <row r="114" spans="1:9" x14ac:dyDescent="0.45">
      <c r="A114" t="s">
        <v>145</v>
      </c>
      <c r="B114" t="s">
        <v>22</v>
      </c>
      <c r="C114" t="s">
        <v>26</v>
      </c>
      <c r="D114" t="s">
        <v>31</v>
      </c>
      <c r="E114" t="s">
        <v>17</v>
      </c>
      <c r="F114">
        <v>23</v>
      </c>
      <c r="G114">
        <v>5521</v>
      </c>
      <c r="H114">
        <v>3</v>
      </c>
      <c r="I114">
        <v>60</v>
      </c>
    </row>
    <row r="115" spans="1:9" x14ac:dyDescent="0.45">
      <c r="A115" t="s">
        <v>146</v>
      </c>
      <c r="B115" t="s">
        <v>15</v>
      </c>
      <c r="C115" t="s">
        <v>23</v>
      </c>
      <c r="D115" t="s">
        <v>34</v>
      </c>
      <c r="E115" t="s">
        <v>13</v>
      </c>
      <c r="F115">
        <v>61</v>
      </c>
      <c r="G115">
        <v>796</v>
      </c>
      <c r="H115">
        <v>1</v>
      </c>
      <c r="I115">
        <v>64</v>
      </c>
    </row>
    <row r="116" spans="1:9" x14ac:dyDescent="0.45">
      <c r="A116" t="s">
        <v>147</v>
      </c>
      <c r="B116" t="s">
        <v>44</v>
      </c>
      <c r="C116" t="s">
        <v>26</v>
      </c>
      <c r="D116" t="s">
        <v>34</v>
      </c>
      <c r="E116" t="s">
        <v>17</v>
      </c>
      <c r="F116">
        <v>30</v>
      </c>
      <c r="G116">
        <v>3167</v>
      </c>
      <c r="H116">
        <v>5</v>
      </c>
      <c r="I116">
        <v>77</v>
      </c>
    </row>
    <row r="117" spans="1:9" x14ac:dyDescent="0.45">
      <c r="A117" t="s">
        <v>148</v>
      </c>
      <c r="B117" t="s">
        <v>15</v>
      </c>
      <c r="C117" t="s">
        <v>40</v>
      </c>
      <c r="D117" t="s">
        <v>42</v>
      </c>
      <c r="E117" t="s">
        <v>13</v>
      </c>
      <c r="F117">
        <v>19</v>
      </c>
      <c r="G117">
        <v>1084</v>
      </c>
      <c r="H117">
        <v>1</v>
      </c>
      <c r="I117">
        <v>60</v>
      </c>
    </row>
    <row r="118" spans="1:9" x14ac:dyDescent="0.45">
      <c r="A118" t="s">
        <v>149</v>
      </c>
      <c r="B118" t="s">
        <v>49</v>
      </c>
      <c r="C118" t="s">
        <v>26</v>
      </c>
      <c r="D118" t="s">
        <v>16</v>
      </c>
      <c r="E118" t="s">
        <v>13</v>
      </c>
      <c r="F118">
        <v>73</v>
      </c>
      <c r="G118">
        <v>3364</v>
      </c>
      <c r="H118">
        <v>9</v>
      </c>
      <c r="I118">
        <v>57</v>
      </c>
    </row>
    <row r="119" spans="1:9" x14ac:dyDescent="0.45">
      <c r="A119" t="s">
        <v>150</v>
      </c>
      <c r="B119" t="s">
        <v>25</v>
      </c>
      <c r="C119" t="s">
        <v>26</v>
      </c>
      <c r="D119" t="s">
        <v>47</v>
      </c>
      <c r="E119" t="s">
        <v>13</v>
      </c>
      <c r="F119">
        <v>65</v>
      </c>
      <c r="G119">
        <v>5423</v>
      </c>
      <c r="H119">
        <v>9</v>
      </c>
      <c r="I119">
        <v>78</v>
      </c>
    </row>
    <row r="120" spans="1:9" x14ac:dyDescent="0.45">
      <c r="A120" t="s">
        <v>151</v>
      </c>
      <c r="B120" t="s">
        <v>15</v>
      </c>
      <c r="C120" t="s">
        <v>11</v>
      </c>
      <c r="D120" t="s">
        <v>47</v>
      </c>
      <c r="E120" t="s">
        <v>13</v>
      </c>
      <c r="F120">
        <v>78</v>
      </c>
      <c r="G120">
        <v>9102</v>
      </c>
      <c r="H120">
        <v>5</v>
      </c>
      <c r="I120">
        <v>55</v>
      </c>
    </row>
    <row r="121" spans="1:9" x14ac:dyDescent="0.45">
      <c r="A121" t="s">
        <v>152</v>
      </c>
      <c r="B121" t="s">
        <v>22</v>
      </c>
      <c r="C121" t="s">
        <v>11</v>
      </c>
      <c r="D121" t="s">
        <v>27</v>
      </c>
      <c r="E121" t="s">
        <v>13</v>
      </c>
      <c r="F121">
        <v>23</v>
      </c>
      <c r="G121">
        <v>12708</v>
      </c>
      <c r="H121">
        <v>13</v>
      </c>
      <c r="I121">
        <v>91</v>
      </c>
    </row>
    <row r="122" spans="1:9" x14ac:dyDescent="0.45">
      <c r="A122" t="s">
        <v>153</v>
      </c>
      <c r="B122" t="s">
        <v>25</v>
      </c>
      <c r="C122" t="s">
        <v>26</v>
      </c>
      <c r="D122" t="s">
        <v>42</v>
      </c>
      <c r="E122" t="s">
        <v>37</v>
      </c>
      <c r="F122">
        <v>56</v>
      </c>
      <c r="G122">
        <v>6200</v>
      </c>
      <c r="H122">
        <v>9</v>
      </c>
      <c r="I122">
        <v>55</v>
      </c>
    </row>
    <row r="123" spans="1:9" x14ac:dyDescent="0.45">
      <c r="A123" t="s">
        <v>154</v>
      </c>
      <c r="B123" t="s">
        <v>25</v>
      </c>
      <c r="C123" t="s">
        <v>26</v>
      </c>
      <c r="D123" t="s">
        <v>47</v>
      </c>
      <c r="E123" t="s">
        <v>17</v>
      </c>
      <c r="F123">
        <v>86</v>
      </c>
      <c r="G123">
        <v>1856</v>
      </c>
      <c r="H123">
        <v>4</v>
      </c>
      <c r="I123">
        <v>71</v>
      </c>
    </row>
    <row r="124" spans="1:9" x14ac:dyDescent="0.45">
      <c r="A124" t="s">
        <v>155</v>
      </c>
      <c r="B124" t="s">
        <v>25</v>
      </c>
      <c r="C124" t="s">
        <v>23</v>
      </c>
      <c r="D124" t="s">
        <v>27</v>
      </c>
      <c r="E124" t="s">
        <v>13</v>
      </c>
      <c r="F124">
        <v>52</v>
      </c>
      <c r="G124">
        <v>1866</v>
      </c>
      <c r="H124">
        <v>3</v>
      </c>
      <c r="I124">
        <v>52</v>
      </c>
    </row>
    <row r="125" spans="1:9" x14ac:dyDescent="0.45">
      <c r="A125" t="s">
        <v>156</v>
      </c>
      <c r="B125" t="s">
        <v>25</v>
      </c>
      <c r="C125" t="s">
        <v>11</v>
      </c>
      <c r="D125" t="s">
        <v>29</v>
      </c>
      <c r="E125" t="s">
        <v>17</v>
      </c>
      <c r="F125">
        <v>15</v>
      </c>
      <c r="G125">
        <v>17657</v>
      </c>
      <c r="H125">
        <v>11</v>
      </c>
      <c r="I125">
        <v>82</v>
      </c>
    </row>
    <row r="126" spans="1:9" x14ac:dyDescent="0.45">
      <c r="A126" t="s">
        <v>157</v>
      </c>
      <c r="B126" t="s">
        <v>49</v>
      </c>
      <c r="C126" t="s">
        <v>11</v>
      </c>
      <c r="D126" t="s">
        <v>20</v>
      </c>
      <c r="E126" t="s">
        <v>17</v>
      </c>
      <c r="F126">
        <v>7</v>
      </c>
      <c r="G126">
        <v>8073</v>
      </c>
      <c r="H126">
        <v>13</v>
      </c>
      <c r="I126">
        <v>73</v>
      </c>
    </row>
    <row r="127" spans="1:9" x14ac:dyDescent="0.45">
      <c r="A127" t="s">
        <v>158</v>
      </c>
      <c r="B127" t="s">
        <v>19</v>
      </c>
      <c r="C127" t="s">
        <v>23</v>
      </c>
      <c r="D127" t="s">
        <v>34</v>
      </c>
      <c r="E127" t="s">
        <v>13</v>
      </c>
      <c r="F127">
        <v>27</v>
      </c>
      <c r="G127">
        <v>746</v>
      </c>
      <c r="H127">
        <v>3</v>
      </c>
      <c r="I127">
        <v>58</v>
      </c>
    </row>
    <row r="128" spans="1:9" x14ac:dyDescent="0.45">
      <c r="A128" t="s">
        <v>159</v>
      </c>
      <c r="B128" t="s">
        <v>44</v>
      </c>
      <c r="C128" t="s">
        <v>23</v>
      </c>
      <c r="D128" t="s">
        <v>34</v>
      </c>
      <c r="E128" t="s">
        <v>17</v>
      </c>
      <c r="F128">
        <v>81</v>
      </c>
      <c r="G128">
        <v>1446</v>
      </c>
      <c r="H128">
        <v>1</v>
      </c>
      <c r="I128">
        <v>95</v>
      </c>
    </row>
    <row r="129" spans="1:9" x14ac:dyDescent="0.45">
      <c r="A129" t="s">
        <v>160</v>
      </c>
      <c r="B129" t="s">
        <v>22</v>
      </c>
      <c r="C129" t="s">
        <v>26</v>
      </c>
      <c r="D129" t="s">
        <v>20</v>
      </c>
      <c r="E129" t="s">
        <v>17</v>
      </c>
      <c r="F129">
        <v>53</v>
      </c>
      <c r="G129">
        <v>1763</v>
      </c>
      <c r="H129">
        <v>5</v>
      </c>
      <c r="I129">
        <v>57</v>
      </c>
    </row>
    <row r="130" spans="1:9" x14ac:dyDescent="0.45">
      <c r="A130" t="s">
        <v>161</v>
      </c>
      <c r="B130" t="s">
        <v>25</v>
      </c>
      <c r="C130" t="s">
        <v>11</v>
      </c>
      <c r="D130" t="s">
        <v>42</v>
      </c>
      <c r="E130" t="s">
        <v>13</v>
      </c>
      <c r="F130">
        <v>38</v>
      </c>
      <c r="G130">
        <v>13337</v>
      </c>
      <c r="H130">
        <v>9</v>
      </c>
      <c r="I130">
        <v>76</v>
      </c>
    </row>
    <row r="131" spans="1:9" x14ac:dyDescent="0.45">
      <c r="A131" t="s">
        <v>162</v>
      </c>
      <c r="B131" t="s">
        <v>49</v>
      </c>
      <c r="C131" t="s">
        <v>23</v>
      </c>
      <c r="D131" t="s">
        <v>34</v>
      </c>
      <c r="E131" t="s">
        <v>17</v>
      </c>
      <c r="F131">
        <v>71</v>
      </c>
      <c r="G131">
        <v>496</v>
      </c>
      <c r="H131">
        <v>2</v>
      </c>
      <c r="I131">
        <v>62</v>
      </c>
    </row>
    <row r="132" spans="1:9" x14ac:dyDescent="0.45">
      <c r="A132" t="s">
        <v>163</v>
      </c>
      <c r="B132" t="s">
        <v>19</v>
      </c>
      <c r="C132" t="s">
        <v>40</v>
      </c>
      <c r="D132" t="s">
        <v>31</v>
      </c>
      <c r="E132" t="s">
        <v>17</v>
      </c>
      <c r="F132">
        <v>54</v>
      </c>
      <c r="G132">
        <v>3284</v>
      </c>
      <c r="H132">
        <v>5</v>
      </c>
      <c r="I132">
        <v>67</v>
      </c>
    </row>
    <row r="133" spans="1:9" x14ac:dyDescent="0.45">
      <c r="A133" t="s">
        <v>164</v>
      </c>
      <c r="B133" t="s">
        <v>49</v>
      </c>
      <c r="C133" t="s">
        <v>11</v>
      </c>
      <c r="D133" t="s">
        <v>27</v>
      </c>
      <c r="E133" t="s">
        <v>13</v>
      </c>
      <c r="F133">
        <v>76</v>
      </c>
      <c r="G133">
        <v>14501</v>
      </c>
      <c r="H133">
        <v>15</v>
      </c>
      <c r="I133">
        <v>81</v>
      </c>
    </row>
    <row r="134" spans="1:9" x14ac:dyDescent="0.45">
      <c r="A134" t="s">
        <v>165</v>
      </c>
      <c r="B134" t="s">
        <v>49</v>
      </c>
      <c r="C134" t="s">
        <v>40</v>
      </c>
      <c r="D134" t="s">
        <v>34</v>
      </c>
      <c r="E134" t="s">
        <v>13</v>
      </c>
      <c r="F134">
        <v>45</v>
      </c>
      <c r="G134">
        <v>3223</v>
      </c>
      <c r="H134">
        <v>5</v>
      </c>
      <c r="I134">
        <v>98</v>
      </c>
    </row>
    <row r="135" spans="1:9" x14ac:dyDescent="0.45">
      <c r="A135" t="s">
        <v>166</v>
      </c>
      <c r="B135" t="s">
        <v>19</v>
      </c>
      <c r="C135" t="s">
        <v>23</v>
      </c>
      <c r="D135" t="s">
        <v>34</v>
      </c>
      <c r="E135" t="s">
        <v>13</v>
      </c>
      <c r="F135">
        <v>25</v>
      </c>
      <c r="G135">
        <v>1628</v>
      </c>
      <c r="H135">
        <v>1</v>
      </c>
      <c r="I135">
        <v>86</v>
      </c>
    </row>
    <row r="136" spans="1:9" x14ac:dyDescent="0.45">
      <c r="A136" t="s">
        <v>167</v>
      </c>
      <c r="B136" t="s">
        <v>25</v>
      </c>
      <c r="C136" t="s">
        <v>40</v>
      </c>
      <c r="D136" t="s">
        <v>47</v>
      </c>
      <c r="E136" t="s">
        <v>17</v>
      </c>
      <c r="F136">
        <v>61</v>
      </c>
      <c r="G136">
        <v>3623</v>
      </c>
      <c r="H136">
        <v>4</v>
      </c>
      <c r="I136">
        <v>92</v>
      </c>
    </row>
    <row r="137" spans="1:9" x14ac:dyDescent="0.45">
      <c r="A137" t="s">
        <v>168</v>
      </c>
      <c r="B137" t="s">
        <v>49</v>
      </c>
      <c r="C137" t="s">
        <v>40</v>
      </c>
      <c r="D137" t="s">
        <v>34</v>
      </c>
      <c r="E137" t="s">
        <v>13</v>
      </c>
      <c r="F137">
        <v>17</v>
      </c>
      <c r="G137">
        <v>4614</v>
      </c>
      <c r="H137">
        <v>5</v>
      </c>
      <c r="I137">
        <v>71</v>
      </c>
    </row>
    <row r="138" spans="1:9" x14ac:dyDescent="0.45">
      <c r="A138" t="s">
        <v>169</v>
      </c>
      <c r="B138" t="s">
        <v>49</v>
      </c>
      <c r="C138" t="s">
        <v>11</v>
      </c>
      <c r="D138" t="s">
        <v>34</v>
      </c>
      <c r="E138" t="s">
        <v>17</v>
      </c>
      <c r="F138">
        <v>59</v>
      </c>
      <c r="G138">
        <v>5251</v>
      </c>
      <c r="H138">
        <v>7</v>
      </c>
      <c r="I138">
        <v>76</v>
      </c>
    </row>
    <row r="139" spans="1:9" x14ac:dyDescent="0.45">
      <c r="A139" t="s">
        <v>170</v>
      </c>
      <c r="B139" t="s">
        <v>49</v>
      </c>
      <c r="C139" t="s">
        <v>40</v>
      </c>
      <c r="D139" t="s">
        <v>31</v>
      </c>
      <c r="E139" t="s">
        <v>17</v>
      </c>
      <c r="F139">
        <v>34</v>
      </c>
      <c r="G139">
        <v>3273</v>
      </c>
      <c r="H139">
        <v>5</v>
      </c>
      <c r="I139">
        <v>94</v>
      </c>
    </row>
    <row r="140" spans="1:9" x14ac:dyDescent="0.45">
      <c r="A140" t="s">
        <v>171</v>
      </c>
      <c r="B140" t="s">
        <v>25</v>
      </c>
      <c r="C140" t="s">
        <v>11</v>
      </c>
      <c r="D140" t="s">
        <v>29</v>
      </c>
      <c r="E140" t="s">
        <v>13</v>
      </c>
      <c r="F140">
        <v>69</v>
      </c>
      <c r="G140">
        <v>11226</v>
      </c>
      <c r="H140">
        <v>10</v>
      </c>
      <c r="I140">
        <v>90</v>
      </c>
    </row>
    <row r="141" spans="1:9" x14ac:dyDescent="0.45">
      <c r="A141" t="s">
        <v>172</v>
      </c>
      <c r="B141" t="s">
        <v>10</v>
      </c>
      <c r="C141" t="s">
        <v>23</v>
      </c>
      <c r="D141" t="s">
        <v>20</v>
      </c>
      <c r="E141" t="s">
        <v>17</v>
      </c>
      <c r="F141">
        <v>9</v>
      </c>
      <c r="G141">
        <v>680</v>
      </c>
      <c r="H141">
        <v>3</v>
      </c>
      <c r="I141">
        <v>93</v>
      </c>
    </row>
    <row r="142" spans="1:9" x14ac:dyDescent="0.45">
      <c r="A142" t="s">
        <v>173</v>
      </c>
      <c r="B142" t="s">
        <v>44</v>
      </c>
      <c r="C142" t="s">
        <v>40</v>
      </c>
      <c r="D142" t="s">
        <v>31</v>
      </c>
      <c r="E142" t="s">
        <v>17</v>
      </c>
      <c r="F142">
        <v>13</v>
      </c>
      <c r="G142">
        <v>1323</v>
      </c>
      <c r="H142">
        <v>4</v>
      </c>
      <c r="I142">
        <v>60</v>
      </c>
    </row>
    <row r="143" spans="1:9" x14ac:dyDescent="0.45">
      <c r="A143" t="s">
        <v>174</v>
      </c>
      <c r="B143" t="s">
        <v>10</v>
      </c>
      <c r="C143" t="s">
        <v>26</v>
      </c>
      <c r="D143" t="s">
        <v>12</v>
      </c>
      <c r="E143" t="s">
        <v>17</v>
      </c>
      <c r="F143">
        <v>8</v>
      </c>
      <c r="G143">
        <v>3403</v>
      </c>
      <c r="H143">
        <v>7</v>
      </c>
      <c r="I143">
        <v>73</v>
      </c>
    </row>
    <row r="144" spans="1:9" x14ac:dyDescent="0.45">
      <c r="A144" t="s">
        <v>175</v>
      </c>
      <c r="B144" t="s">
        <v>25</v>
      </c>
      <c r="C144" t="s">
        <v>40</v>
      </c>
      <c r="D144" t="s">
        <v>60</v>
      </c>
      <c r="E144" t="s">
        <v>13</v>
      </c>
      <c r="F144">
        <v>73</v>
      </c>
      <c r="G144">
        <v>1975</v>
      </c>
      <c r="H144">
        <v>2</v>
      </c>
      <c r="I144">
        <v>61</v>
      </c>
    </row>
    <row r="145" spans="1:9" x14ac:dyDescent="0.45">
      <c r="A145" t="s">
        <v>176</v>
      </c>
      <c r="B145" t="s">
        <v>15</v>
      </c>
      <c r="C145" t="s">
        <v>23</v>
      </c>
      <c r="D145" t="s">
        <v>16</v>
      </c>
      <c r="E145" t="s">
        <v>13</v>
      </c>
      <c r="F145">
        <v>64</v>
      </c>
      <c r="G145">
        <v>1394</v>
      </c>
      <c r="H145">
        <v>1</v>
      </c>
      <c r="I145">
        <v>64</v>
      </c>
    </row>
    <row r="146" spans="1:9" x14ac:dyDescent="0.45">
      <c r="A146" t="s">
        <v>177</v>
      </c>
      <c r="B146" t="s">
        <v>25</v>
      </c>
      <c r="C146" t="s">
        <v>26</v>
      </c>
      <c r="D146" t="s">
        <v>34</v>
      </c>
      <c r="E146" t="s">
        <v>17</v>
      </c>
      <c r="F146">
        <v>2</v>
      </c>
      <c r="G146">
        <v>4811</v>
      </c>
      <c r="H146">
        <v>6</v>
      </c>
      <c r="I146">
        <v>93</v>
      </c>
    </row>
    <row r="147" spans="1:9" x14ac:dyDescent="0.45">
      <c r="A147" t="s">
        <v>178</v>
      </c>
      <c r="B147" t="s">
        <v>19</v>
      </c>
      <c r="C147" t="s">
        <v>40</v>
      </c>
      <c r="D147" t="s">
        <v>31</v>
      </c>
      <c r="E147" t="s">
        <v>17</v>
      </c>
      <c r="F147">
        <v>45</v>
      </c>
      <c r="G147">
        <v>2950</v>
      </c>
      <c r="H147">
        <v>4</v>
      </c>
      <c r="I147">
        <v>94</v>
      </c>
    </row>
    <row r="148" spans="1:9" x14ac:dyDescent="0.45">
      <c r="A148" t="s">
        <v>179</v>
      </c>
      <c r="B148" t="s">
        <v>44</v>
      </c>
      <c r="C148" t="s">
        <v>23</v>
      </c>
      <c r="D148" t="s">
        <v>27</v>
      </c>
      <c r="E148" t="s">
        <v>17</v>
      </c>
      <c r="F148">
        <v>50</v>
      </c>
      <c r="G148">
        <v>1947</v>
      </c>
      <c r="H148">
        <v>2</v>
      </c>
      <c r="I148">
        <v>56</v>
      </c>
    </row>
    <row r="149" spans="1:9" x14ac:dyDescent="0.45">
      <c r="A149" t="s">
        <v>180</v>
      </c>
      <c r="B149" t="s">
        <v>22</v>
      </c>
      <c r="C149" t="s">
        <v>23</v>
      </c>
      <c r="D149" t="s">
        <v>16</v>
      </c>
      <c r="E149" t="s">
        <v>17</v>
      </c>
      <c r="F149">
        <v>38</v>
      </c>
      <c r="G149">
        <v>1632</v>
      </c>
      <c r="H149">
        <v>2</v>
      </c>
      <c r="I149">
        <v>51</v>
      </c>
    </row>
    <row r="150" spans="1:9" x14ac:dyDescent="0.45">
      <c r="A150" t="s">
        <v>181</v>
      </c>
      <c r="B150" t="s">
        <v>49</v>
      </c>
      <c r="C150" t="s">
        <v>23</v>
      </c>
      <c r="D150" t="s">
        <v>27</v>
      </c>
      <c r="E150" t="s">
        <v>17</v>
      </c>
      <c r="F150">
        <v>88</v>
      </c>
      <c r="G150">
        <v>1793</v>
      </c>
      <c r="H150">
        <v>3</v>
      </c>
      <c r="I150">
        <v>53</v>
      </c>
    </row>
    <row r="151" spans="1:9" x14ac:dyDescent="0.45">
      <c r="A151" t="s">
        <v>182</v>
      </c>
      <c r="B151" t="s">
        <v>19</v>
      </c>
      <c r="C151" t="s">
        <v>23</v>
      </c>
      <c r="D151" t="s">
        <v>27</v>
      </c>
      <c r="E151" t="s">
        <v>13</v>
      </c>
      <c r="F151">
        <v>30</v>
      </c>
      <c r="G151">
        <v>1443</v>
      </c>
      <c r="H151">
        <v>2</v>
      </c>
      <c r="I151">
        <v>64</v>
      </c>
    </row>
    <row r="152" spans="1:9" x14ac:dyDescent="0.45">
      <c r="A152" t="s">
        <v>183</v>
      </c>
      <c r="B152" t="s">
        <v>10</v>
      </c>
      <c r="C152" t="s">
        <v>40</v>
      </c>
      <c r="D152" t="s">
        <v>16</v>
      </c>
      <c r="E152" t="s">
        <v>17</v>
      </c>
      <c r="F152">
        <v>85</v>
      </c>
      <c r="G152">
        <v>1620</v>
      </c>
      <c r="H152">
        <v>1</v>
      </c>
      <c r="I152">
        <v>90</v>
      </c>
    </row>
    <row r="153" spans="1:9" x14ac:dyDescent="0.45">
      <c r="A153" t="s">
        <v>184</v>
      </c>
      <c r="B153" t="s">
        <v>10</v>
      </c>
      <c r="C153" t="s">
        <v>11</v>
      </c>
      <c r="D153" t="s">
        <v>27</v>
      </c>
      <c r="E153" t="s">
        <v>13</v>
      </c>
      <c r="F153">
        <v>5</v>
      </c>
      <c r="G153">
        <v>14495</v>
      </c>
      <c r="H153">
        <v>10</v>
      </c>
      <c r="I153">
        <v>96</v>
      </c>
    </row>
    <row r="154" spans="1:9" x14ac:dyDescent="0.45">
      <c r="A154" t="s">
        <v>185</v>
      </c>
      <c r="B154" t="s">
        <v>22</v>
      </c>
      <c r="C154" t="s">
        <v>11</v>
      </c>
      <c r="D154" t="s">
        <v>27</v>
      </c>
      <c r="E154" t="s">
        <v>17</v>
      </c>
      <c r="F154">
        <v>54</v>
      </c>
      <c r="G154">
        <v>7877</v>
      </c>
      <c r="H154">
        <v>8</v>
      </c>
      <c r="I154">
        <v>58</v>
      </c>
    </row>
    <row r="155" spans="1:9" x14ac:dyDescent="0.45">
      <c r="A155" t="s">
        <v>186</v>
      </c>
      <c r="B155" t="s">
        <v>49</v>
      </c>
      <c r="C155" t="s">
        <v>26</v>
      </c>
      <c r="D155" t="s">
        <v>20</v>
      </c>
      <c r="E155" t="s">
        <v>13</v>
      </c>
      <c r="F155">
        <v>35</v>
      </c>
      <c r="G155">
        <v>2347</v>
      </c>
      <c r="H155">
        <v>6</v>
      </c>
      <c r="I155">
        <v>80</v>
      </c>
    </row>
    <row r="156" spans="1:9" x14ac:dyDescent="0.45">
      <c r="A156" t="s">
        <v>187</v>
      </c>
      <c r="B156" t="s">
        <v>49</v>
      </c>
      <c r="C156" t="s">
        <v>26</v>
      </c>
      <c r="D156" t="s">
        <v>29</v>
      </c>
      <c r="E156" t="s">
        <v>13</v>
      </c>
      <c r="F156">
        <v>60</v>
      </c>
      <c r="G156">
        <v>1616</v>
      </c>
      <c r="H156">
        <v>4</v>
      </c>
      <c r="I156">
        <v>98</v>
      </c>
    </row>
    <row r="157" spans="1:9" x14ac:dyDescent="0.45">
      <c r="A157" t="s">
        <v>188</v>
      </c>
      <c r="B157" t="s">
        <v>22</v>
      </c>
      <c r="C157" t="s">
        <v>23</v>
      </c>
      <c r="D157" t="s">
        <v>20</v>
      </c>
      <c r="E157" t="s">
        <v>17</v>
      </c>
      <c r="F157">
        <v>51</v>
      </c>
      <c r="G157">
        <v>228</v>
      </c>
      <c r="H157">
        <v>2</v>
      </c>
      <c r="I157">
        <v>84</v>
      </c>
    </row>
    <row r="158" spans="1:9" x14ac:dyDescent="0.45">
      <c r="A158" t="s">
        <v>189</v>
      </c>
      <c r="B158" t="s">
        <v>15</v>
      </c>
      <c r="C158" t="s">
        <v>23</v>
      </c>
      <c r="D158" t="s">
        <v>29</v>
      </c>
      <c r="E158" t="s">
        <v>13</v>
      </c>
      <c r="F158">
        <v>87</v>
      </c>
      <c r="G158">
        <v>736</v>
      </c>
      <c r="H158">
        <v>3</v>
      </c>
      <c r="I158">
        <v>74</v>
      </c>
    </row>
    <row r="159" spans="1:9" x14ac:dyDescent="0.45">
      <c r="A159" t="s">
        <v>190</v>
      </c>
      <c r="B159" t="s">
        <v>49</v>
      </c>
      <c r="C159" t="s">
        <v>26</v>
      </c>
      <c r="D159" t="s">
        <v>31</v>
      </c>
      <c r="E159" t="s">
        <v>13</v>
      </c>
      <c r="F159">
        <v>61</v>
      </c>
      <c r="G159">
        <v>1205</v>
      </c>
      <c r="H159">
        <v>10</v>
      </c>
      <c r="I159">
        <v>70</v>
      </c>
    </row>
    <row r="160" spans="1:9" x14ac:dyDescent="0.45">
      <c r="A160" t="s">
        <v>191</v>
      </c>
      <c r="B160" t="s">
        <v>19</v>
      </c>
      <c r="C160" t="s">
        <v>40</v>
      </c>
      <c r="D160" t="s">
        <v>31</v>
      </c>
      <c r="E160" t="s">
        <v>13</v>
      </c>
      <c r="F160">
        <v>60</v>
      </c>
      <c r="G160">
        <v>2975</v>
      </c>
      <c r="H160">
        <v>4</v>
      </c>
      <c r="I160">
        <v>57</v>
      </c>
    </row>
    <row r="161" spans="1:9" x14ac:dyDescent="0.45">
      <c r="A161" t="s">
        <v>192</v>
      </c>
      <c r="B161" t="s">
        <v>22</v>
      </c>
      <c r="C161" t="s">
        <v>11</v>
      </c>
      <c r="D161" t="s">
        <v>12</v>
      </c>
      <c r="E161" t="s">
        <v>17</v>
      </c>
      <c r="F161">
        <v>64</v>
      </c>
      <c r="G161">
        <v>6902</v>
      </c>
      <c r="H161">
        <v>6</v>
      </c>
      <c r="I161">
        <v>65</v>
      </c>
    </row>
    <row r="162" spans="1:9" x14ac:dyDescent="0.45">
      <c r="A162" t="s">
        <v>193</v>
      </c>
      <c r="B162" t="s">
        <v>19</v>
      </c>
      <c r="C162" t="s">
        <v>40</v>
      </c>
      <c r="D162" t="s">
        <v>47</v>
      </c>
      <c r="E162" t="s">
        <v>17</v>
      </c>
      <c r="F162">
        <v>86</v>
      </c>
      <c r="G162">
        <v>4925</v>
      </c>
      <c r="H162">
        <v>4</v>
      </c>
      <c r="I162">
        <v>87</v>
      </c>
    </row>
    <row r="163" spans="1:9" x14ac:dyDescent="0.45">
      <c r="A163" t="s">
        <v>194</v>
      </c>
      <c r="B163" t="s">
        <v>10</v>
      </c>
      <c r="C163" t="s">
        <v>40</v>
      </c>
      <c r="D163" t="s">
        <v>47</v>
      </c>
      <c r="E163" t="s">
        <v>13</v>
      </c>
      <c r="F163">
        <v>63</v>
      </c>
      <c r="G163">
        <v>3843</v>
      </c>
      <c r="H163">
        <v>3</v>
      </c>
      <c r="I163">
        <v>52</v>
      </c>
    </row>
    <row r="164" spans="1:9" x14ac:dyDescent="0.45">
      <c r="A164" t="s">
        <v>195</v>
      </c>
      <c r="B164" t="s">
        <v>10</v>
      </c>
      <c r="C164" t="s">
        <v>26</v>
      </c>
      <c r="D164" t="s">
        <v>60</v>
      </c>
      <c r="E164" t="s">
        <v>17</v>
      </c>
      <c r="F164">
        <v>31</v>
      </c>
      <c r="G164">
        <v>3971</v>
      </c>
      <c r="H164">
        <v>3</v>
      </c>
      <c r="I164">
        <v>93</v>
      </c>
    </row>
    <row r="165" spans="1:9" x14ac:dyDescent="0.45">
      <c r="A165" t="s">
        <v>196</v>
      </c>
      <c r="B165" t="s">
        <v>44</v>
      </c>
      <c r="C165" t="s">
        <v>26</v>
      </c>
      <c r="D165" t="s">
        <v>12</v>
      </c>
      <c r="E165" t="s">
        <v>17</v>
      </c>
      <c r="F165">
        <v>25</v>
      </c>
      <c r="G165">
        <v>2000</v>
      </c>
      <c r="H165">
        <v>9</v>
      </c>
      <c r="I165">
        <v>55</v>
      </c>
    </row>
    <row r="166" spans="1:9" x14ac:dyDescent="0.45">
      <c r="A166" t="s">
        <v>197</v>
      </c>
      <c r="B166" t="s">
        <v>10</v>
      </c>
      <c r="C166" t="s">
        <v>40</v>
      </c>
      <c r="D166" t="s">
        <v>16</v>
      </c>
      <c r="E166" t="s">
        <v>13</v>
      </c>
      <c r="F166">
        <v>7</v>
      </c>
      <c r="G166">
        <v>3232</v>
      </c>
      <c r="H166">
        <v>2</v>
      </c>
      <c r="I166">
        <v>58</v>
      </c>
    </row>
    <row r="167" spans="1:9" x14ac:dyDescent="0.45">
      <c r="A167" t="s">
        <v>198</v>
      </c>
      <c r="B167" t="s">
        <v>49</v>
      </c>
      <c r="C167" t="s">
        <v>40</v>
      </c>
      <c r="D167" t="s">
        <v>31</v>
      </c>
      <c r="E167" t="s">
        <v>13</v>
      </c>
      <c r="F167">
        <v>71</v>
      </c>
      <c r="G167">
        <v>2197</v>
      </c>
      <c r="H167">
        <v>5</v>
      </c>
      <c r="I167">
        <v>63</v>
      </c>
    </row>
    <row r="168" spans="1:9" x14ac:dyDescent="0.45">
      <c r="A168" t="s">
        <v>199</v>
      </c>
      <c r="B168" t="s">
        <v>49</v>
      </c>
      <c r="C168" t="s">
        <v>40</v>
      </c>
      <c r="D168" t="s">
        <v>29</v>
      </c>
      <c r="E168" t="s">
        <v>13</v>
      </c>
      <c r="F168">
        <v>77</v>
      </c>
      <c r="G168">
        <v>523</v>
      </c>
      <c r="H168">
        <v>3</v>
      </c>
      <c r="I168">
        <v>59</v>
      </c>
    </row>
    <row r="169" spans="1:9" x14ac:dyDescent="0.45">
      <c r="A169" t="s">
        <v>200</v>
      </c>
      <c r="B169" t="s">
        <v>22</v>
      </c>
      <c r="C169" t="s">
        <v>26</v>
      </c>
      <c r="D169" t="s">
        <v>42</v>
      </c>
      <c r="E169" t="s">
        <v>17</v>
      </c>
      <c r="F169">
        <v>4</v>
      </c>
      <c r="G169">
        <v>2079</v>
      </c>
      <c r="H169">
        <v>2</v>
      </c>
      <c r="I169">
        <v>72</v>
      </c>
    </row>
    <row r="170" spans="1:9" x14ac:dyDescent="0.45">
      <c r="A170" t="s">
        <v>201</v>
      </c>
      <c r="B170" t="s">
        <v>49</v>
      </c>
      <c r="C170" t="s">
        <v>40</v>
      </c>
      <c r="D170" t="s">
        <v>16</v>
      </c>
      <c r="E170" t="s">
        <v>17</v>
      </c>
      <c r="F170">
        <v>23</v>
      </c>
      <c r="G170">
        <v>2673</v>
      </c>
      <c r="H170">
        <v>1</v>
      </c>
      <c r="I170">
        <v>58</v>
      </c>
    </row>
    <row r="171" spans="1:9" x14ac:dyDescent="0.45">
      <c r="A171" t="s">
        <v>202</v>
      </c>
      <c r="B171" t="s">
        <v>10</v>
      </c>
      <c r="C171" t="s">
        <v>23</v>
      </c>
      <c r="D171" t="s">
        <v>20</v>
      </c>
      <c r="E171" t="s">
        <v>17</v>
      </c>
      <c r="F171">
        <v>9</v>
      </c>
      <c r="G171">
        <v>1175</v>
      </c>
      <c r="H171">
        <v>2</v>
      </c>
      <c r="I171">
        <v>99</v>
      </c>
    </row>
    <row r="172" spans="1:9" x14ac:dyDescent="0.45">
      <c r="A172" t="s">
        <v>203</v>
      </c>
      <c r="B172" t="s">
        <v>44</v>
      </c>
      <c r="C172" t="s">
        <v>11</v>
      </c>
      <c r="D172" t="s">
        <v>34</v>
      </c>
      <c r="E172" t="s">
        <v>13</v>
      </c>
      <c r="F172">
        <v>79</v>
      </c>
      <c r="G172">
        <v>5710</v>
      </c>
      <c r="H172">
        <v>15</v>
      </c>
      <c r="I172">
        <v>83</v>
      </c>
    </row>
    <row r="173" spans="1:9" x14ac:dyDescent="0.45">
      <c r="A173" t="s">
        <v>204</v>
      </c>
      <c r="B173" t="s">
        <v>44</v>
      </c>
      <c r="C173" t="s">
        <v>23</v>
      </c>
      <c r="D173" t="s">
        <v>12</v>
      </c>
      <c r="E173" t="s">
        <v>17</v>
      </c>
      <c r="F173">
        <v>62</v>
      </c>
      <c r="G173">
        <v>1935</v>
      </c>
      <c r="H173">
        <v>2</v>
      </c>
      <c r="I173">
        <v>77</v>
      </c>
    </row>
    <row r="174" spans="1:9" x14ac:dyDescent="0.45">
      <c r="A174" t="s">
        <v>205</v>
      </c>
      <c r="B174" t="s">
        <v>10</v>
      </c>
      <c r="C174" t="s">
        <v>11</v>
      </c>
      <c r="D174" t="s">
        <v>34</v>
      </c>
      <c r="E174" t="s">
        <v>13</v>
      </c>
      <c r="F174">
        <v>57</v>
      </c>
      <c r="G174">
        <v>6204</v>
      </c>
      <c r="H174">
        <v>6</v>
      </c>
      <c r="I174">
        <v>70</v>
      </c>
    </row>
    <row r="175" spans="1:9" x14ac:dyDescent="0.45">
      <c r="A175" t="s">
        <v>206</v>
      </c>
      <c r="B175" t="s">
        <v>19</v>
      </c>
      <c r="C175" t="s">
        <v>40</v>
      </c>
      <c r="D175" t="s">
        <v>31</v>
      </c>
      <c r="E175" t="s">
        <v>17</v>
      </c>
      <c r="F175">
        <v>80</v>
      </c>
      <c r="G175">
        <v>4992</v>
      </c>
      <c r="H175">
        <v>3</v>
      </c>
      <c r="I175">
        <v>74</v>
      </c>
    </row>
    <row r="176" spans="1:9" x14ac:dyDescent="0.45">
      <c r="A176" t="s">
        <v>207</v>
      </c>
      <c r="B176" t="s">
        <v>19</v>
      </c>
      <c r="C176" t="s">
        <v>26</v>
      </c>
      <c r="D176" t="s">
        <v>34</v>
      </c>
      <c r="E176" t="s">
        <v>13</v>
      </c>
      <c r="F176">
        <v>56</v>
      </c>
      <c r="G176">
        <v>1812</v>
      </c>
      <c r="H176">
        <v>3</v>
      </c>
      <c r="I176">
        <v>91</v>
      </c>
    </row>
    <row r="177" spans="1:9" x14ac:dyDescent="0.45">
      <c r="A177" t="s">
        <v>208</v>
      </c>
      <c r="B177" t="s">
        <v>10</v>
      </c>
      <c r="C177" t="s">
        <v>40</v>
      </c>
      <c r="D177" t="s">
        <v>47</v>
      </c>
      <c r="E177" t="s">
        <v>17</v>
      </c>
      <c r="F177">
        <v>30</v>
      </c>
      <c r="G177">
        <v>3889</v>
      </c>
      <c r="H177">
        <v>3</v>
      </c>
      <c r="I177">
        <v>79</v>
      </c>
    </row>
    <row r="178" spans="1:9" x14ac:dyDescent="0.45">
      <c r="A178" t="s">
        <v>209</v>
      </c>
      <c r="B178" t="s">
        <v>25</v>
      </c>
      <c r="C178" t="s">
        <v>23</v>
      </c>
      <c r="D178" t="s">
        <v>31</v>
      </c>
      <c r="E178" t="s">
        <v>17</v>
      </c>
      <c r="F178">
        <v>41</v>
      </c>
      <c r="G178">
        <v>1562</v>
      </c>
      <c r="H178">
        <v>2</v>
      </c>
      <c r="I178">
        <v>73</v>
      </c>
    </row>
    <row r="179" spans="1:9" x14ac:dyDescent="0.45">
      <c r="A179" t="s">
        <v>210</v>
      </c>
      <c r="B179" t="s">
        <v>22</v>
      </c>
      <c r="C179" t="s">
        <v>23</v>
      </c>
      <c r="D179" t="s">
        <v>31</v>
      </c>
      <c r="E179" t="s">
        <v>17</v>
      </c>
      <c r="F179">
        <v>11</v>
      </c>
      <c r="G179">
        <v>390</v>
      </c>
      <c r="H179">
        <v>2</v>
      </c>
      <c r="I179">
        <v>56</v>
      </c>
    </row>
    <row r="180" spans="1:9" x14ac:dyDescent="0.45">
      <c r="A180" t="s">
        <v>211</v>
      </c>
      <c r="B180" t="s">
        <v>10</v>
      </c>
      <c r="C180" t="s">
        <v>26</v>
      </c>
      <c r="D180" t="s">
        <v>42</v>
      </c>
      <c r="E180" t="s">
        <v>13</v>
      </c>
      <c r="F180">
        <v>76</v>
      </c>
      <c r="G180">
        <v>5600</v>
      </c>
      <c r="H180">
        <v>10</v>
      </c>
      <c r="I180">
        <v>71</v>
      </c>
    </row>
    <row r="181" spans="1:9" x14ac:dyDescent="0.45">
      <c r="A181" t="s">
        <v>212</v>
      </c>
      <c r="B181" t="s">
        <v>10</v>
      </c>
      <c r="C181" t="s">
        <v>11</v>
      </c>
      <c r="D181" t="s">
        <v>47</v>
      </c>
      <c r="E181" t="s">
        <v>17</v>
      </c>
      <c r="F181">
        <v>86</v>
      </c>
      <c r="G181">
        <v>17292</v>
      </c>
      <c r="H181">
        <v>11</v>
      </c>
      <c r="I181">
        <v>96</v>
      </c>
    </row>
    <row r="182" spans="1:9" x14ac:dyDescent="0.45">
      <c r="A182" t="s">
        <v>213</v>
      </c>
      <c r="B182" t="s">
        <v>15</v>
      </c>
      <c r="C182" t="s">
        <v>26</v>
      </c>
      <c r="D182" t="s">
        <v>16</v>
      </c>
      <c r="E182" t="s">
        <v>17</v>
      </c>
      <c r="F182">
        <v>14</v>
      </c>
      <c r="G182">
        <v>5734</v>
      </c>
      <c r="H182">
        <v>10</v>
      </c>
      <c r="I182">
        <v>63</v>
      </c>
    </row>
    <row r="183" spans="1:9" x14ac:dyDescent="0.45">
      <c r="A183" t="s">
        <v>214</v>
      </c>
      <c r="B183" t="s">
        <v>22</v>
      </c>
      <c r="C183" t="s">
        <v>23</v>
      </c>
      <c r="D183" t="s">
        <v>60</v>
      </c>
      <c r="E183" t="s">
        <v>13</v>
      </c>
      <c r="F183">
        <v>45</v>
      </c>
      <c r="G183">
        <v>1931</v>
      </c>
      <c r="H183">
        <v>3</v>
      </c>
      <c r="I183">
        <v>73</v>
      </c>
    </row>
    <row r="184" spans="1:9" x14ac:dyDescent="0.45">
      <c r="A184" t="s">
        <v>215</v>
      </c>
      <c r="B184" t="s">
        <v>15</v>
      </c>
      <c r="C184" t="s">
        <v>26</v>
      </c>
      <c r="D184" t="s">
        <v>16</v>
      </c>
      <c r="E184" t="s">
        <v>17</v>
      </c>
      <c r="F184">
        <v>55</v>
      </c>
      <c r="G184">
        <v>5595</v>
      </c>
      <c r="H184">
        <v>10</v>
      </c>
      <c r="I184">
        <v>51</v>
      </c>
    </row>
    <row r="185" spans="1:9" x14ac:dyDescent="0.45">
      <c r="A185" t="s">
        <v>216</v>
      </c>
      <c r="B185" t="s">
        <v>19</v>
      </c>
      <c r="C185" t="s">
        <v>26</v>
      </c>
      <c r="D185" t="s">
        <v>12</v>
      </c>
      <c r="E185" t="s">
        <v>17</v>
      </c>
      <c r="F185">
        <v>90</v>
      </c>
      <c r="G185">
        <v>3531</v>
      </c>
      <c r="H185">
        <v>7</v>
      </c>
      <c r="I185">
        <v>72</v>
      </c>
    </row>
    <row r="186" spans="1:9" x14ac:dyDescent="0.45">
      <c r="A186" t="s">
        <v>217</v>
      </c>
      <c r="B186" t="s">
        <v>15</v>
      </c>
      <c r="C186" t="s">
        <v>40</v>
      </c>
      <c r="D186" t="s">
        <v>42</v>
      </c>
      <c r="E186" t="s">
        <v>13</v>
      </c>
      <c r="F186">
        <v>52</v>
      </c>
      <c r="G186">
        <v>1070</v>
      </c>
      <c r="H186">
        <v>2</v>
      </c>
      <c r="I186">
        <v>97</v>
      </c>
    </row>
    <row r="187" spans="1:9" x14ac:dyDescent="0.45">
      <c r="A187" t="s">
        <v>218</v>
      </c>
      <c r="B187" t="s">
        <v>10</v>
      </c>
      <c r="C187" t="s">
        <v>11</v>
      </c>
      <c r="D187" t="s">
        <v>31</v>
      </c>
      <c r="E187" t="s">
        <v>13</v>
      </c>
      <c r="F187">
        <v>28</v>
      </c>
      <c r="G187">
        <v>11163</v>
      </c>
      <c r="H187">
        <v>11</v>
      </c>
      <c r="I187">
        <v>79</v>
      </c>
    </row>
    <row r="188" spans="1:9" x14ac:dyDescent="0.45">
      <c r="A188" t="s">
        <v>219</v>
      </c>
      <c r="B188" t="s">
        <v>44</v>
      </c>
      <c r="C188" t="s">
        <v>40</v>
      </c>
      <c r="D188" t="s">
        <v>29</v>
      </c>
      <c r="E188" t="s">
        <v>17</v>
      </c>
      <c r="F188">
        <v>42</v>
      </c>
      <c r="G188">
        <v>1195</v>
      </c>
      <c r="H188">
        <v>1</v>
      </c>
      <c r="I188">
        <v>59</v>
      </c>
    </row>
    <row r="189" spans="1:9" x14ac:dyDescent="0.45">
      <c r="A189" t="s">
        <v>220</v>
      </c>
      <c r="B189" t="s">
        <v>22</v>
      </c>
      <c r="C189" t="s">
        <v>11</v>
      </c>
      <c r="D189" t="s">
        <v>31</v>
      </c>
      <c r="E189" t="s">
        <v>17</v>
      </c>
      <c r="F189">
        <v>85</v>
      </c>
      <c r="G189">
        <v>11947</v>
      </c>
      <c r="H189">
        <v>12</v>
      </c>
      <c r="I189">
        <v>88</v>
      </c>
    </row>
    <row r="190" spans="1:9" x14ac:dyDescent="0.45">
      <c r="A190" t="s">
        <v>221</v>
      </c>
      <c r="B190" t="s">
        <v>25</v>
      </c>
      <c r="C190" t="s">
        <v>23</v>
      </c>
      <c r="D190" t="s">
        <v>27</v>
      </c>
      <c r="E190" t="s">
        <v>17</v>
      </c>
      <c r="F190">
        <v>66</v>
      </c>
      <c r="G190">
        <v>433</v>
      </c>
      <c r="H190">
        <v>2</v>
      </c>
      <c r="I190">
        <v>77</v>
      </c>
    </row>
    <row r="191" spans="1:9" x14ac:dyDescent="0.45">
      <c r="A191" t="s">
        <v>222</v>
      </c>
      <c r="B191" t="s">
        <v>15</v>
      </c>
      <c r="C191" t="s">
        <v>26</v>
      </c>
      <c r="D191" t="s">
        <v>16</v>
      </c>
      <c r="E191" t="s">
        <v>17</v>
      </c>
      <c r="F191">
        <v>86</v>
      </c>
      <c r="G191">
        <v>3526</v>
      </c>
      <c r="H191">
        <v>2</v>
      </c>
      <c r="I191">
        <v>64</v>
      </c>
    </row>
    <row r="192" spans="1:9" x14ac:dyDescent="0.45">
      <c r="A192" t="s">
        <v>223</v>
      </c>
      <c r="B192" t="s">
        <v>25</v>
      </c>
      <c r="C192" t="s">
        <v>11</v>
      </c>
      <c r="D192" t="s">
        <v>12</v>
      </c>
      <c r="E192" t="s">
        <v>17</v>
      </c>
      <c r="F192">
        <v>28</v>
      </c>
      <c r="G192">
        <v>17572</v>
      </c>
      <c r="H192">
        <v>7</v>
      </c>
      <c r="I192">
        <v>98</v>
      </c>
    </row>
    <row r="193" spans="1:9" x14ac:dyDescent="0.45">
      <c r="A193" t="s">
        <v>224</v>
      </c>
      <c r="B193" t="s">
        <v>44</v>
      </c>
      <c r="C193" t="s">
        <v>26</v>
      </c>
      <c r="D193" t="s">
        <v>29</v>
      </c>
      <c r="E193" t="s">
        <v>17</v>
      </c>
      <c r="F193">
        <v>64</v>
      </c>
      <c r="G193">
        <v>4527</v>
      </c>
      <c r="H193">
        <v>4</v>
      </c>
      <c r="I193">
        <v>58</v>
      </c>
    </row>
    <row r="194" spans="1:9" x14ac:dyDescent="0.45">
      <c r="A194" t="s">
        <v>225</v>
      </c>
      <c r="B194" t="s">
        <v>25</v>
      </c>
      <c r="C194" t="s">
        <v>40</v>
      </c>
      <c r="D194" t="s">
        <v>20</v>
      </c>
      <c r="E194" t="s">
        <v>13</v>
      </c>
      <c r="F194">
        <v>86</v>
      </c>
      <c r="G194">
        <v>3401</v>
      </c>
      <c r="H194">
        <v>1</v>
      </c>
      <c r="I194">
        <v>75</v>
      </c>
    </row>
    <row r="195" spans="1:9" x14ac:dyDescent="0.45">
      <c r="A195" t="s">
        <v>226</v>
      </c>
      <c r="B195" t="s">
        <v>49</v>
      </c>
      <c r="C195" t="s">
        <v>11</v>
      </c>
      <c r="D195" t="s">
        <v>47</v>
      </c>
      <c r="E195" t="s">
        <v>17</v>
      </c>
      <c r="F195">
        <v>10</v>
      </c>
      <c r="G195">
        <v>19124</v>
      </c>
      <c r="H195">
        <v>10</v>
      </c>
      <c r="I195">
        <v>86</v>
      </c>
    </row>
    <row r="196" spans="1:9" x14ac:dyDescent="0.45">
      <c r="A196" t="s">
        <v>227</v>
      </c>
      <c r="B196" t="s">
        <v>25</v>
      </c>
      <c r="C196" t="s">
        <v>23</v>
      </c>
      <c r="D196" t="s">
        <v>47</v>
      </c>
      <c r="E196" t="s">
        <v>17</v>
      </c>
      <c r="F196">
        <v>52</v>
      </c>
      <c r="G196">
        <v>242</v>
      </c>
      <c r="H196">
        <v>2</v>
      </c>
      <c r="I196">
        <v>60</v>
      </c>
    </row>
    <row r="197" spans="1:9" x14ac:dyDescent="0.45">
      <c r="A197" t="s">
        <v>228</v>
      </c>
      <c r="B197" t="s">
        <v>49</v>
      </c>
      <c r="C197" t="s">
        <v>23</v>
      </c>
      <c r="D197" t="s">
        <v>29</v>
      </c>
      <c r="E197" t="s">
        <v>17</v>
      </c>
      <c r="F197">
        <v>14</v>
      </c>
      <c r="G197">
        <v>698</v>
      </c>
      <c r="H197">
        <v>2</v>
      </c>
      <c r="I197">
        <v>87</v>
      </c>
    </row>
    <row r="198" spans="1:9" x14ac:dyDescent="0.45">
      <c r="A198" t="s">
        <v>229</v>
      </c>
      <c r="B198" t="s">
        <v>25</v>
      </c>
      <c r="C198" t="s">
        <v>11</v>
      </c>
      <c r="D198" t="s">
        <v>47</v>
      </c>
      <c r="E198" t="s">
        <v>13</v>
      </c>
      <c r="F198">
        <v>44</v>
      </c>
      <c r="G198">
        <v>8630</v>
      </c>
      <c r="H198">
        <v>10</v>
      </c>
      <c r="I198">
        <v>99</v>
      </c>
    </row>
    <row r="199" spans="1:9" x14ac:dyDescent="0.45">
      <c r="A199" t="s">
        <v>230</v>
      </c>
      <c r="B199" t="s">
        <v>22</v>
      </c>
      <c r="C199" t="s">
        <v>11</v>
      </c>
      <c r="D199" t="s">
        <v>20</v>
      </c>
      <c r="E199" t="s">
        <v>13</v>
      </c>
      <c r="F199">
        <v>68</v>
      </c>
      <c r="G199">
        <v>13355</v>
      </c>
      <c r="H199">
        <v>8</v>
      </c>
      <c r="I199">
        <v>99</v>
      </c>
    </row>
    <row r="200" spans="1:9" x14ac:dyDescent="0.45">
      <c r="A200" t="s">
        <v>231</v>
      </c>
      <c r="B200" t="s">
        <v>44</v>
      </c>
      <c r="C200" t="s">
        <v>26</v>
      </c>
      <c r="D200" t="s">
        <v>42</v>
      </c>
      <c r="E200" t="s">
        <v>17</v>
      </c>
      <c r="F200">
        <v>19</v>
      </c>
      <c r="G200">
        <v>3096</v>
      </c>
      <c r="H200">
        <v>5</v>
      </c>
      <c r="I200">
        <v>61</v>
      </c>
    </row>
    <row r="201" spans="1:9" x14ac:dyDescent="0.45">
      <c r="A201" t="s">
        <v>232</v>
      </c>
      <c r="B201" t="s">
        <v>19</v>
      </c>
      <c r="C201" t="s">
        <v>40</v>
      </c>
      <c r="D201" t="s">
        <v>31</v>
      </c>
      <c r="E201" t="s">
        <v>17</v>
      </c>
      <c r="F201">
        <v>81</v>
      </c>
      <c r="G201">
        <v>4547</v>
      </c>
      <c r="H201">
        <v>4</v>
      </c>
      <c r="I201">
        <v>98</v>
      </c>
    </row>
    <row r="202" spans="1:9" x14ac:dyDescent="0.45">
      <c r="A202" t="s">
        <v>233</v>
      </c>
      <c r="B202" t="s">
        <v>19</v>
      </c>
      <c r="C202" t="s">
        <v>23</v>
      </c>
      <c r="D202" t="s">
        <v>16</v>
      </c>
      <c r="E202" t="s">
        <v>13</v>
      </c>
      <c r="F202">
        <v>80</v>
      </c>
      <c r="G202">
        <v>861</v>
      </c>
      <c r="H202">
        <v>3</v>
      </c>
      <c r="I202">
        <v>70</v>
      </c>
    </row>
    <row r="203" spans="1:9" x14ac:dyDescent="0.45">
      <c r="A203" t="s">
        <v>234</v>
      </c>
      <c r="B203" t="s">
        <v>22</v>
      </c>
      <c r="C203" t="s">
        <v>23</v>
      </c>
      <c r="D203" t="s">
        <v>31</v>
      </c>
      <c r="E203" t="s">
        <v>17</v>
      </c>
      <c r="F203">
        <v>81</v>
      </c>
      <c r="G203">
        <v>820</v>
      </c>
      <c r="H203">
        <v>2</v>
      </c>
      <c r="I203">
        <v>87</v>
      </c>
    </row>
    <row r="204" spans="1:9" x14ac:dyDescent="0.45">
      <c r="A204" t="s">
        <v>235</v>
      </c>
      <c r="B204" t="s">
        <v>15</v>
      </c>
      <c r="C204" t="s">
        <v>26</v>
      </c>
      <c r="D204" t="s">
        <v>20</v>
      </c>
      <c r="E204" t="s">
        <v>17</v>
      </c>
      <c r="F204">
        <v>60</v>
      </c>
      <c r="G204">
        <v>4702</v>
      </c>
      <c r="H204">
        <v>2</v>
      </c>
      <c r="I204">
        <v>53</v>
      </c>
    </row>
    <row r="205" spans="1:9" x14ac:dyDescent="0.45">
      <c r="A205" t="s">
        <v>236</v>
      </c>
      <c r="B205" t="s">
        <v>44</v>
      </c>
      <c r="C205" t="s">
        <v>26</v>
      </c>
      <c r="D205" t="s">
        <v>31</v>
      </c>
      <c r="E205" t="s">
        <v>13</v>
      </c>
      <c r="F205">
        <v>12</v>
      </c>
      <c r="G205">
        <v>6038</v>
      </c>
      <c r="H205">
        <v>10</v>
      </c>
      <c r="I205">
        <v>74</v>
      </c>
    </row>
    <row r="206" spans="1:9" x14ac:dyDescent="0.45">
      <c r="A206" t="s">
        <v>237</v>
      </c>
      <c r="B206" t="s">
        <v>25</v>
      </c>
      <c r="C206" t="s">
        <v>11</v>
      </c>
      <c r="D206" t="s">
        <v>34</v>
      </c>
      <c r="E206" t="s">
        <v>13</v>
      </c>
      <c r="F206">
        <v>74</v>
      </c>
      <c r="G206">
        <v>15679</v>
      </c>
      <c r="H206">
        <v>8</v>
      </c>
      <c r="I206">
        <v>70</v>
      </c>
    </row>
    <row r="207" spans="1:9" x14ac:dyDescent="0.45">
      <c r="A207" t="s">
        <v>238</v>
      </c>
      <c r="B207" t="s">
        <v>19</v>
      </c>
      <c r="C207" t="s">
        <v>23</v>
      </c>
      <c r="D207" t="s">
        <v>20</v>
      </c>
      <c r="E207" t="s">
        <v>17</v>
      </c>
      <c r="F207">
        <v>8</v>
      </c>
      <c r="G207">
        <v>1122</v>
      </c>
      <c r="H207">
        <v>1</v>
      </c>
      <c r="I207">
        <v>71</v>
      </c>
    </row>
    <row r="208" spans="1:9" x14ac:dyDescent="0.45">
      <c r="A208" t="s">
        <v>239</v>
      </c>
      <c r="B208" t="s">
        <v>10</v>
      </c>
      <c r="C208" t="s">
        <v>11</v>
      </c>
      <c r="D208" t="s">
        <v>20</v>
      </c>
      <c r="E208" t="s">
        <v>13</v>
      </c>
      <c r="F208">
        <v>6</v>
      </c>
      <c r="G208">
        <v>9059</v>
      </c>
      <c r="H208">
        <v>12</v>
      </c>
      <c r="I208">
        <v>78</v>
      </c>
    </row>
    <row r="209" spans="1:9" x14ac:dyDescent="0.45">
      <c r="A209" t="s">
        <v>240</v>
      </c>
      <c r="B209" t="s">
        <v>19</v>
      </c>
      <c r="C209" t="s">
        <v>40</v>
      </c>
      <c r="D209" t="s">
        <v>29</v>
      </c>
      <c r="E209" t="s">
        <v>17</v>
      </c>
      <c r="F209">
        <v>37</v>
      </c>
      <c r="G209">
        <v>3673</v>
      </c>
      <c r="H209">
        <v>4</v>
      </c>
      <c r="I209">
        <v>99</v>
      </c>
    </row>
    <row r="210" spans="1:9" x14ac:dyDescent="0.45">
      <c r="A210" t="s">
        <v>241</v>
      </c>
      <c r="B210" t="s">
        <v>44</v>
      </c>
      <c r="C210" t="s">
        <v>11</v>
      </c>
      <c r="D210" t="s">
        <v>29</v>
      </c>
      <c r="E210" t="s">
        <v>17</v>
      </c>
      <c r="F210">
        <v>13</v>
      </c>
      <c r="G210">
        <v>14141</v>
      </c>
      <c r="H210">
        <v>15</v>
      </c>
      <c r="I210">
        <v>74</v>
      </c>
    </row>
    <row r="211" spans="1:9" x14ac:dyDescent="0.45">
      <c r="A211" t="s">
        <v>242</v>
      </c>
      <c r="B211" t="s">
        <v>44</v>
      </c>
      <c r="C211" t="s">
        <v>26</v>
      </c>
      <c r="D211" t="s">
        <v>16</v>
      </c>
      <c r="E211" t="s">
        <v>13</v>
      </c>
      <c r="F211">
        <v>43</v>
      </c>
      <c r="G211">
        <v>1667</v>
      </c>
      <c r="H211">
        <v>4</v>
      </c>
      <c r="I211">
        <v>72</v>
      </c>
    </row>
    <row r="212" spans="1:9" x14ac:dyDescent="0.45">
      <c r="A212" t="s">
        <v>243</v>
      </c>
      <c r="B212" t="s">
        <v>44</v>
      </c>
      <c r="C212" t="s">
        <v>23</v>
      </c>
      <c r="D212" t="s">
        <v>42</v>
      </c>
      <c r="E212" t="s">
        <v>13</v>
      </c>
      <c r="F212">
        <v>11</v>
      </c>
      <c r="G212">
        <v>834</v>
      </c>
      <c r="H212">
        <v>3</v>
      </c>
      <c r="I212">
        <v>74</v>
      </c>
    </row>
    <row r="213" spans="1:9" x14ac:dyDescent="0.45">
      <c r="A213" t="s">
        <v>244</v>
      </c>
      <c r="B213" t="s">
        <v>10</v>
      </c>
      <c r="C213" t="s">
        <v>26</v>
      </c>
      <c r="D213" t="s">
        <v>42</v>
      </c>
      <c r="E213" t="s">
        <v>13</v>
      </c>
      <c r="F213">
        <v>88</v>
      </c>
      <c r="G213">
        <v>5312</v>
      </c>
      <c r="H213">
        <v>3</v>
      </c>
      <c r="I213">
        <v>91</v>
      </c>
    </row>
    <row r="214" spans="1:9" x14ac:dyDescent="0.45">
      <c r="A214" t="s">
        <v>245</v>
      </c>
      <c r="B214" t="s">
        <v>10</v>
      </c>
      <c r="C214" t="s">
        <v>23</v>
      </c>
      <c r="D214" t="s">
        <v>20</v>
      </c>
      <c r="E214" t="s">
        <v>17</v>
      </c>
      <c r="F214">
        <v>47</v>
      </c>
      <c r="G214">
        <v>832</v>
      </c>
      <c r="H214">
        <v>1</v>
      </c>
      <c r="I214">
        <v>63</v>
      </c>
    </row>
    <row r="215" spans="1:9" x14ac:dyDescent="0.45">
      <c r="A215" t="s">
        <v>246</v>
      </c>
      <c r="B215" t="s">
        <v>44</v>
      </c>
      <c r="C215" t="s">
        <v>23</v>
      </c>
      <c r="D215" t="s">
        <v>60</v>
      </c>
      <c r="E215" t="s">
        <v>17</v>
      </c>
      <c r="F215">
        <v>18</v>
      </c>
      <c r="G215">
        <v>517</v>
      </c>
      <c r="H215">
        <v>1</v>
      </c>
      <c r="I215">
        <v>68</v>
      </c>
    </row>
    <row r="216" spans="1:9" x14ac:dyDescent="0.45">
      <c r="A216" t="s">
        <v>247</v>
      </c>
      <c r="B216" t="s">
        <v>49</v>
      </c>
      <c r="C216" t="s">
        <v>11</v>
      </c>
      <c r="D216" t="s">
        <v>20</v>
      </c>
      <c r="E216" t="s">
        <v>13</v>
      </c>
      <c r="F216">
        <v>68</v>
      </c>
      <c r="G216">
        <v>5618</v>
      </c>
      <c r="H216">
        <v>15</v>
      </c>
      <c r="I216">
        <v>71</v>
      </c>
    </row>
    <row r="217" spans="1:9" x14ac:dyDescent="0.45">
      <c r="A217" t="s">
        <v>248</v>
      </c>
      <c r="B217" t="s">
        <v>49</v>
      </c>
      <c r="C217" t="s">
        <v>40</v>
      </c>
      <c r="D217" t="s">
        <v>16</v>
      </c>
      <c r="E217" t="s">
        <v>17</v>
      </c>
      <c r="F217">
        <v>21</v>
      </c>
      <c r="G217">
        <v>1981</v>
      </c>
      <c r="H217">
        <v>5</v>
      </c>
      <c r="I217">
        <v>60</v>
      </c>
    </row>
    <row r="218" spans="1:9" x14ac:dyDescent="0.45">
      <c r="A218" t="s">
        <v>249</v>
      </c>
      <c r="B218" t="s">
        <v>10</v>
      </c>
      <c r="C218" t="s">
        <v>23</v>
      </c>
      <c r="D218" t="s">
        <v>12</v>
      </c>
      <c r="E218" t="s">
        <v>17</v>
      </c>
      <c r="F218">
        <v>87</v>
      </c>
      <c r="G218">
        <v>1673</v>
      </c>
      <c r="H218">
        <v>1</v>
      </c>
      <c r="I218">
        <v>78</v>
      </c>
    </row>
    <row r="219" spans="1:9" x14ac:dyDescent="0.45">
      <c r="A219" t="s">
        <v>250</v>
      </c>
      <c r="B219" t="s">
        <v>19</v>
      </c>
      <c r="C219" t="s">
        <v>26</v>
      </c>
      <c r="D219" t="s">
        <v>34</v>
      </c>
      <c r="E219" t="s">
        <v>17</v>
      </c>
      <c r="F219">
        <v>31</v>
      </c>
      <c r="G219">
        <v>3535</v>
      </c>
      <c r="H219">
        <v>9</v>
      </c>
      <c r="I219">
        <v>62</v>
      </c>
    </row>
    <row r="220" spans="1:9" x14ac:dyDescent="0.45">
      <c r="A220" t="s">
        <v>251</v>
      </c>
      <c r="B220" t="s">
        <v>44</v>
      </c>
      <c r="C220" t="s">
        <v>23</v>
      </c>
      <c r="D220" t="s">
        <v>34</v>
      </c>
      <c r="E220" t="s">
        <v>13</v>
      </c>
      <c r="F220">
        <v>49</v>
      </c>
      <c r="G220">
        <v>1229</v>
      </c>
      <c r="H220">
        <v>3</v>
      </c>
      <c r="I220">
        <v>76</v>
      </c>
    </row>
    <row r="221" spans="1:9" x14ac:dyDescent="0.45">
      <c r="A221" t="s">
        <v>252</v>
      </c>
      <c r="B221" t="s">
        <v>22</v>
      </c>
      <c r="C221" t="s">
        <v>40</v>
      </c>
      <c r="D221" t="s">
        <v>16</v>
      </c>
      <c r="E221" t="s">
        <v>17</v>
      </c>
      <c r="F221">
        <v>33</v>
      </c>
      <c r="G221">
        <v>927</v>
      </c>
      <c r="H221">
        <v>4</v>
      </c>
      <c r="I221">
        <v>73</v>
      </c>
    </row>
    <row r="222" spans="1:9" x14ac:dyDescent="0.45">
      <c r="A222" t="s">
        <v>253</v>
      </c>
      <c r="B222" t="s">
        <v>19</v>
      </c>
      <c r="C222" t="s">
        <v>11</v>
      </c>
      <c r="D222" t="s">
        <v>20</v>
      </c>
      <c r="E222" t="s">
        <v>13</v>
      </c>
      <c r="F222">
        <v>37</v>
      </c>
      <c r="G222">
        <v>6374</v>
      </c>
      <c r="H222">
        <v>7</v>
      </c>
      <c r="I222">
        <v>67</v>
      </c>
    </row>
    <row r="223" spans="1:9" x14ac:dyDescent="0.45">
      <c r="A223" t="s">
        <v>254</v>
      </c>
      <c r="B223" t="s">
        <v>25</v>
      </c>
      <c r="C223" t="s">
        <v>40</v>
      </c>
      <c r="D223" t="s">
        <v>47</v>
      </c>
      <c r="E223" t="s">
        <v>17</v>
      </c>
      <c r="F223">
        <v>29</v>
      </c>
      <c r="G223">
        <v>4195</v>
      </c>
      <c r="H223">
        <v>3</v>
      </c>
      <c r="I223">
        <v>51</v>
      </c>
    </row>
    <row r="224" spans="1:9" x14ac:dyDescent="0.45">
      <c r="A224" t="s">
        <v>255</v>
      </c>
      <c r="B224" t="s">
        <v>25</v>
      </c>
      <c r="C224" t="s">
        <v>11</v>
      </c>
      <c r="D224" t="s">
        <v>47</v>
      </c>
      <c r="E224" t="s">
        <v>13</v>
      </c>
      <c r="F224">
        <v>31</v>
      </c>
      <c r="G224">
        <v>11326</v>
      </c>
      <c r="H224">
        <v>6</v>
      </c>
      <c r="I224">
        <v>73</v>
      </c>
    </row>
    <row r="225" spans="1:9" x14ac:dyDescent="0.45">
      <c r="A225" t="s">
        <v>256</v>
      </c>
      <c r="B225" t="s">
        <v>22</v>
      </c>
      <c r="C225" t="s">
        <v>11</v>
      </c>
      <c r="D225" t="s">
        <v>29</v>
      </c>
      <c r="E225" t="s">
        <v>13</v>
      </c>
      <c r="F225">
        <v>84</v>
      </c>
      <c r="G225">
        <v>10493</v>
      </c>
      <c r="H225">
        <v>7</v>
      </c>
      <c r="I225">
        <v>58</v>
      </c>
    </row>
    <row r="226" spans="1:9" x14ac:dyDescent="0.45">
      <c r="A226" t="s">
        <v>257</v>
      </c>
      <c r="B226" t="s">
        <v>15</v>
      </c>
      <c r="C226" t="s">
        <v>26</v>
      </c>
      <c r="D226" t="s">
        <v>34</v>
      </c>
      <c r="E226" t="s">
        <v>13</v>
      </c>
      <c r="F226">
        <v>18</v>
      </c>
      <c r="G226">
        <v>6779</v>
      </c>
      <c r="H226">
        <v>9</v>
      </c>
      <c r="I226">
        <v>78</v>
      </c>
    </row>
    <row r="227" spans="1:9" x14ac:dyDescent="0.45">
      <c r="A227" t="s">
        <v>258</v>
      </c>
      <c r="B227" t="s">
        <v>19</v>
      </c>
      <c r="C227" t="s">
        <v>11</v>
      </c>
      <c r="D227" t="s">
        <v>31</v>
      </c>
      <c r="E227" t="s">
        <v>17</v>
      </c>
      <c r="F227">
        <v>28</v>
      </c>
      <c r="G227">
        <v>18680</v>
      </c>
      <c r="H227">
        <v>7</v>
      </c>
      <c r="I227">
        <v>85</v>
      </c>
    </row>
    <row r="228" spans="1:9" x14ac:dyDescent="0.45">
      <c r="A228" t="s">
        <v>259</v>
      </c>
      <c r="B228" t="s">
        <v>10</v>
      </c>
      <c r="C228" t="s">
        <v>23</v>
      </c>
      <c r="D228" t="s">
        <v>31</v>
      </c>
      <c r="E228" t="s">
        <v>13</v>
      </c>
      <c r="F228">
        <v>31</v>
      </c>
      <c r="G228">
        <v>816</v>
      </c>
      <c r="H228">
        <v>1</v>
      </c>
      <c r="I228">
        <v>53</v>
      </c>
    </row>
    <row r="229" spans="1:9" x14ac:dyDescent="0.45">
      <c r="A229" t="s">
        <v>260</v>
      </c>
      <c r="B229" t="s">
        <v>22</v>
      </c>
      <c r="C229" t="s">
        <v>23</v>
      </c>
      <c r="D229" t="s">
        <v>16</v>
      </c>
      <c r="E229" t="s">
        <v>17</v>
      </c>
      <c r="F229">
        <v>15</v>
      </c>
      <c r="G229">
        <v>1913</v>
      </c>
      <c r="H229">
        <v>2</v>
      </c>
      <c r="I229">
        <v>88</v>
      </c>
    </row>
    <row r="230" spans="1:9" x14ac:dyDescent="0.45">
      <c r="A230" t="s">
        <v>261</v>
      </c>
      <c r="B230" t="s">
        <v>19</v>
      </c>
      <c r="C230" t="s">
        <v>11</v>
      </c>
      <c r="D230" t="s">
        <v>20</v>
      </c>
      <c r="E230" t="s">
        <v>13</v>
      </c>
      <c r="F230">
        <v>19</v>
      </c>
      <c r="G230">
        <v>9772</v>
      </c>
      <c r="H230">
        <v>11</v>
      </c>
      <c r="I230">
        <v>50</v>
      </c>
    </row>
    <row r="231" spans="1:9" x14ac:dyDescent="0.45">
      <c r="A231" t="s">
        <v>262</v>
      </c>
      <c r="B231" t="s">
        <v>19</v>
      </c>
      <c r="C231" t="s">
        <v>26</v>
      </c>
      <c r="D231" t="s">
        <v>60</v>
      </c>
      <c r="E231" t="s">
        <v>13</v>
      </c>
      <c r="F231">
        <v>24</v>
      </c>
      <c r="G231">
        <v>6442</v>
      </c>
      <c r="H231">
        <v>3</v>
      </c>
      <c r="I231">
        <v>83</v>
      </c>
    </row>
    <row r="232" spans="1:9" x14ac:dyDescent="0.45">
      <c r="A232" t="s">
        <v>263</v>
      </c>
      <c r="B232" t="s">
        <v>44</v>
      </c>
      <c r="C232" t="s">
        <v>11</v>
      </c>
      <c r="D232" t="s">
        <v>20</v>
      </c>
      <c r="E232" t="s">
        <v>13</v>
      </c>
      <c r="F232">
        <v>65</v>
      </c>
      <c r="G232">
        <v>14079</v>
      </c>
      <c r="H232">
        <v>5</v>
      </c>
      <c r="I232">
        <v>74</v>
      </c>
    </row>
    <row r="233" spans="1:9" x14ac:dyDescent="0.45">
      <c r="A233" t="s">
        <v>264</v>
      </c>
      <c r="B233" t="s">
        <v>49</v>
      </c>
      <c r="C233" t="s">
        <v>23</v>
      </c>
      <c r="D233" t="s">
        <v>12</v>
      </c>
      <c r="E233" t="s">
        <v>13</v>
      </c>
      <c r="F233">
        <v>48</v>
      </c>
      <c r="G233">
        <v>719</v>
      </c>
      <c r="H233">
        <v>3</v>
      </c>
      <c r="I233">
        <v>51</v>
      </c>
    </row>
    <row r="234" spans="1:9" x14ac:dyDescent="0.45">
      <c r="A234" t="s">
        <v>265</v>
      </c>
      <c r="B234" t="s">
        <v>44</v>
      </c>
      <c r="C234" t="s">
        <v>11</v>
      </c>
      <c r="D234" t="s">
        <v>29</v>
      </c>
      <c r="E234" t="s">
        <v>17</v>
      </c>
      <c r="F234">
        <v>85</v>
      </c>
      <c r="G234">
        <v>15293</v>
      </c>
      <c r="H234">
        <v>6</v>
      </c>
      <c r="I234">
        <v>99</v>
      </c>
    </row>
    <row r="235" spans="1:9" x14ac:dyDescent="0.45">
      <c r="A235" t="s">
        <v>266</v>
      </c>
      <c r="B235" t="s">
        <v>19</v>
      </c>
      <c r="C235" t="s">
        <v>26</v>
      </c>
      <c r="D235" t="s">
        <v>42</v>
      </c>
      <c r="E235" t="s">
        <v>17</v>
      </c>
      <c r="F235">
        <v>70</v>
      </c>
      <c r="G235">
        <v>3773</v>
      </c>
      <c r="H235">
        <v>4</v>
      </c>
      <c r="I235">
        <v>99</v>
      </c>
    </row>
    <row r="236" spans="1:9" x14ac:dyDescent="0.45">
      <c r="A236" t="s">
        <v>267</v>
      </c>
      <c r="B236" t="s">
        <v>10</v>
      </c>
      <c r="C236" t="s">
        <v>23</v>
      </c>
      <c r="D236" t="s">
        <v>34</v>
      </c>
      <c r="E236" t="s">
        <v>13</v>
      </c>
      <c r="F236">
        <v>18</v>
      </c>
      <c r="G236">
        <v>329</v>
      </c>
      <c r="H236">
        <v>3</v>
      </c>
      <c r="I236">
        <v>99</v>
      </c>
    </row>
    <row r="237" spans="1:9" x14ac:dyDescent="0.45">
      <c r="A237" t="s">
        <v>268</v>
      </c>
      <c r="B237" t="s">
        <v>25</v>
      </c>
      <c r="C237" t="s">
        <v>11</v>
      </c>
      <c r="D237" t="s">
        <v>27</v>
      </c>
      <c r="E237" t="s">
        <v>17</v>
      </c>
      <c r="F237">
        <v>26</v>
      </c>
      <c r="G237">
        <v>19512</v>
      </c>
      <c r="H237">
        <v>5</v>
      </c>
      <c r="I237">
        <v>70</v>
      </c>
    </row>
    <row r="238" spans="1:9" x14ac:dyDescent="0.45">
      <c r="A238" t="s">
        <v>269</v>
      </c>
      <c r="B238" t="s">
        <v>44</v>
      </c>
      <c r="C238" t="s">
        <v>23</v>
      </c>
      <c r="D238" t="s">
        <v>20</v>
      </c>
      <c r="E238" t="s">
        <v>17</v>
      </c>
      <c r="F238">
        <v>5</v>
      </c>
      <c r="G238">
        <v>1742</v>
      </c>
      <c r="H238">
        <v>3</v>
      </c>
      <c r="I238">
        <v>62</v>
      </c>
    </row>
    <row r="239" spans="1:9" x14ac:dyDescent="0.45">
      <c r="A239" t="s">
        <v>270</v>
      </c>
      <c r="B239" t="s">
        <v>44</v>
      </c>
      <c r="C239" t="s">
        <v>26</v>
      </c>
      <c r="D239" t="s">
        <v>12</v>
      </c>
      <c r="E239" t="s">
        <v>13</v>
      </c>
      <c r="F239">
        <v>43</v>
      </c>
      <c r="G239">
        <v>3238</v>
      </c>
      <c r="H239">
        <v>3</v>
      </c>
      <c r="I239">
        <v>73</v>
      </c>
    </row>
    <row r="240" spans="1:9" x14ac:dyDescent="0.45">
      <c r="A240" t="s">
        <v>271</v>
      </c>
      <c r="B240" t="s">
        <v>25</v>
      </c>
      <c r="C240" t="s">
        <v>23</v>
      </c>
      <c r="D240" t="s">
        <v>34</v>
      </c>
      <c r="E240" t="s">
        <v>13</v>
      </c>
      <c r="F240">
        <v>50</v>
      </c>
      <c r="G240">
        <v>894</v>
      </c>
      <c r="H240">
        <v>1</v>
      </c>
      <c r="I240">
        <v>81</v>
      </c>
    </row>
    <row r="241" spans="1:9" x14ac:dyDescent="0.45">
      <c r="A241" t="s">
        <v>272</v>
      </c>
      <c r="B241" t="s">
        <v>10</v>
      </c>
      <c r="C241" t="s">
        <v>23</v>
      </c>
      <c r="D241" t="s">
        <v>29</v>
      </c>
      <c r="E241" t="s">
        <v>13</v>
      </c>
      <c r="F241">
        <v>67</v>
      </c>
      <c r="G241">
        <v>746</v>
      </c>
      <c r="H241">
        <v>1</v>
      </c>
      <c r="I241">
        <v>96</v>
      </c>
    </row>
    <row r="242" spans="1:9" x14ac:dyDescent="0.45">
      <c r="A242" t="s">
        <v>273</v>
      </c>
      <c r="B242" t="s">
        <v>25</v>
      </c>
      <c r="C242" t="s">
        <v>11</v>
      </c>
      <c r="D242" t="s">
        <v>47</v>
      </c>
      <c r="E242" t="s">
        <v>13</v>
      </c>
      <c r="F242">
        <v>24</v>
      </c>
      <c r="G242">
        <v>13937</v>
      </c>
      <c r="H242">
        <v>9</v>
      </c>
      <c r="I242">
        <v>70</v>
      </c>
    </row>
    <row r="243" spans="1:9" x14ac:dyDescent="0.45">
      <c r="A243" t="s">
        <v>274</v>
      </c>
      <c r="B243" t="s">
        <v>15</v>
      </c>
      <c r="C243" t="s">
        <v>11</v>
      </c>
      <c r="D243" t="s">
        <v>29</v>
      </c>
      <c r="E243" t="s">
        <v>13</v>
      </c>
      <c r="F243">
        <v>40</v>
      </c>
      <c r="G243">
        <v>12305</v>
      </c>
      <c r="H243">
        <v>14</v>
      </c>
      <c r="I243">
        <v>95</v>
      </c>
    </row>
    <row r="244" spans="1:9" x14ac:dyDescent="0.45">
      <c r="A244" t="s">
        <v>275</v>
      </c>
      <c r="B244" t="s">
        <v>25</v>
      </c>
      <c r="C244" t="s">
        <v>40</v>
      </c>
      <c r="D244" t="s">
        <v>34</v>
      </c>
      <c r="E244" t="s">
        <v>17</v>
      </c>
      <c r="F244">
        <v>6</v>
      </c>
      <c r="G244">
        <v>3388</v>
      </c>
      <c r="H244">
        <v>5</v>
      </c>
      <c r="I244">
        <v>77</v>
      </c>
    </row>
    <row r="245" spans="1:9" x14ac:dyDescent="0.45">
      <c r="A245" t="s">
        <v>276</v>
      </c>
      <c r="B245" t="s">
        <v>44</v>
      </c>
      <c r="C245" t="s">
        <v>11</v>
      </c>
      <c r="D245" t="s">
        <v>31</v>
      </c>
      <c r="E245" t="s">
        <v>13</v>
      </c>
      <c r="F245">
        <v>52</v>
      </c>
      <c r="G245">
        <v>10952</v>
      </c>
      <c r="H245">
        <v>13</v>
      </c>
      <c r="I245">
        <v>97</v>
      </c>
    </row>
    <row r="246" spans="1:9" x14ac:dyDescent="0.45">
      <c r="A246" t="s">
        <v>277</v>
      </c>
      <c r="B246" t="s">
        <v>10</v>
      </c>
      <c r="C246" t="s">
        <v>40</v>
      </c>
      <c r="D246" t="s">
        <v>12</v>
      </c>
      <c r="E246" t="s">
        <v>17</v>
      </c>
      <c r="F246">
        <v>78</v>
      </c>
      <c r="G246">
        <v>4089</v>
      </c>
      <c r="H246">
        <v>1</v>
      </c>
      <c r="I246">
        <v>58</v>
      </c>
    </row>
    <row r="247" spans="1:9" x14ac:dyDescent="0.45">
      <c r="A247" t="s">
        <v>278</v>
      </c>
      <c r="B247" t="s">
        <v>15</v>
      </c>
      <c r="C247" t="s">
        <v>40</v>
      </c>
      <c r="D247" t="s">
        <v>29</v>
      </c>
      <c r="E247" t="s">
        <v>17</v>
      </c>
      <c r="F247">
        <v>73</v>
      </c>
      <c r="G247">
        <v>765</v>
      </c>
      <c r="H247">
        <v>5</v>
      </c>
      <c r="I247">
        <v>59</v>
      </c>
    </row>
    <row r="248" spans="1:9" x14ac:dyDescent="0.45">
      <c r="A248" t="s">
        <v>279</v>
      </c>
      <c r="B248" t="s">
        <v>10</v>
      </c>
      <c r="C248" t="s">
        <v>23</v>
      </c>
      <c r="D248" t="s">
        <v>29</v>
      </c>
      <c r="E248" t="s">
        <v>17</v>
      </c>
      <c r="F248">
        <v>10</v>
      </c>
      <c r="G248">
        <v>1375</v>
      </c>
      <c r="H248">
        <v>1</v>
      </c>
      <c r="I248">
        <v>83</v>
      </c>
    </row>
    <row r="249" spans="1:9" x14ac:dyDescent="0.45">
      <c r="A249" t="s">
        <v>280</v>
      </c>
      <c r="B249" t="s">
        <v>44</v>
      </c>
      <c r="C249" t="s">
        <v>23</v>
      </c>
      <c r="D249" t="s">
        <v>29</v>
      </c>
      <c r="E249" t="s">
        <v>13</v>
      </c>
      <c r="F249">
        <v>32</v>
      </c>
      <c r="G249">
        <v>432</v>
      </c>
      <c r="H249">
        <v>1</v>
      </c>
      <c r="I249">
        <v>97</v>
      </c>
    </row>
    <row r="250" spans="1:9" x14ac:dyDescent="0.45">
      <c r="A250" t="s">
        <v>281</v>
      </c>
      <c r="B250" t="s">
        <v>22</v>
      </c>
      <c r="C250" t="s">
        <v>23</v>
      </c>
      <c r="D250" t="s">
        <v>20</v>
      </c>
      <c r="E250" t="s">
        <v>17</v>
      </c>
      <c r="F250">
        <v>72</v>
      </c>
      <c r="G250">
        <v>441</v>
      </c>
      <c r="H250">
        <v>2</v>
      </c>
      <c r="I250">
        <v>99</v>
      </c>
    </row>
    <row r="251" spans="1:9" x14ac:dyDescent="0.45">
      <c r="A251" t="s">
        <v>282</v>
      </c>
      <c r="B251" t="s">
        <v>44</v>
      </c>
      <c r="C251" t="s">
        <v>23</v>
      </c>
      <c r="D251" t="s">
        <v>60</v>
      </c>
      <c r="E251" t="s">
        <v>37</v>
      </c>
      <c r="F251">
        <v>37</v>
      </c>
      <c r="G251">
        <v>1621</v>
      </c>
      <c r="H251">
        <v>2</v>
      </c>
      <c r="I251">
        <v>62</v>
      </c>
    </row>
    <row r="252" spans="1:9" x14ac:dyDescent="0.45">
      <c r="A252" t="s">
        <v>283</v>
      </c>
      <c r="B252" t="s">
        <v>15</v>
      </c>
      <c r="C252" t="s">
        <v>40</v>
      </c>
      <c r="D252" t="s">
        <v>31</v>
      </c>
      <c r="E252" t="s">
        <v>17</v>
      </c>
      <c r="F252">
        <v>57</v>
      </c>
      <c r="G252">
        <v>1219</v>
      </c>
      <c r="H252">
        <v>3</v>
      </c>
      <c r="I252">
        <v>92</v>
      </c>
    </row>
    <row r="253" spans="1:9" x14ac:dyDescent="0.45">
      <c r="A253" t="s">
        <v>284</v>
      </c>
      <c r="B253" t="s">
        <v>44</v>
      </c>
      <c r="C253" t="s">
        <v>11</v>
      </c>
      <c r="D253" t="s">
        <v>20</v>
      </c>
      <c r="E253" t="s">
        <v>13</v>
      </c>
      <c r="F253">
        <v>39</v>
      </c>
      <c r="G253">
        <v>18948</v>
      </c>
      <c r="H253">
        <v>7</v>
      </c>
      <c r="I253">
        <v>95</v>
      </c>
    </row>
    <row r="254" spans="1:9" x14ac:dyDescent="0.45">
      <c r="A254" t="s">
        <v>285</v>
      </c>
      <c r="B254" t="s">
        <v>10</v>
      </c>
      <c r="C254" t="s">
        <v>40</v>
      </c>
      <c r="D254" t="s">
        <v>29</v>
      </c>
      <c r="E254" t="s">
        <v>13</v>
      </c>
      <c r="F254">
        <v>16</v>
      </c>
      <c r="G254">
        <v>2146</v>
      </c>
      <c r="H254">
        <v>2</v>
      </c>
      <c r="I254">
        <v>65</v>
      </c>
    </row>
    <row r="255" spans="1:9" x14ac:dyDescent="0.45">
      <c r="A255" t="s">
        <v>286</v>
      </c>
      <c r="B255" t="s">
        <v>49</v>
      </c>
      <c r="C255" t="s">
        <v>23</v>
      </c>
      <c r="D255" t="s">
        <v>12</v>
      </c>
      <c r="E255" t="s">
        <v>17</v>
      </c>
      <c r="F255">
        <v>74</v>
      </c>
      <c r="G255">
        <v>955</v>
      </c>
      <c r="H255">
        <v>2</v>
      </c>
      <c r="I255">
        <v>85</v>
      </c>
    </row>
    <row r="256" spans="1:9" x14ac:dyDescent="0.45">
      <c r="A256" t="s">
        <v>287</v>
      </c>
      <c r="B256" t="s">
        <v>22</v>
      </c>
      <c r="C256" t="s">
        <v>11</v>
      </c>
      <c r="D256" t="s">
        <v>31</v>
      </c>
      <c r="E256" t="s">
        <v>17</v>
      </c>
      <c r="F256">
        <v>62</v>
      </c>
      <c r="G256">
        <v>13612</v>
      </c>
      <c r="H256">
        <v>11</v>
      </c>
      <c r="I256">
        <v>99</v>
      </c>
    </row>
    <row r="257" spans="1:9" x14ac:dyDescent="0.45">
      <c r="A257" t="s">
        <v>288</v>
      </c>
      <c r="B257" t="s">
        <v>25</v>
      </c>
      <c r="C257" t="s">
        <v>11</v>
      </c>
      <c r="D257" t="s">
        <v>42</v>
      </c>
      <c r="E257" t="s">
        <v>13</v>
      </c>
      <c r="F257">
        <v>83</v>
      </c>
      <c r="G257">
        <v>6215</v>
      </c>
      <c r="H257">
        <v>12</v>
      </c>
      <c r="I257">
        <v>79</v>
      </c>
    </row>
    <row r="258" spans="1:9" x14ac:dyDescent="0.45">
      <c r="A258" t="s">
        <v>289</v>
      </c>
      <c r="B258" t="s">
        <v>10</v>
      </c>
      <c r="C258" t="s">
        <v>26</v>
      </c>
      <c r="D258" t="s">
        <v>42</v>
      </c>
      <c r="E258" t="s">
        <v>13</v>
      </c>
      <c r="F258">
        <v>71</v>
      </c>
      <c r="G258">
        <v>6241</v>
      </c>
      <c r="H258">
        <v>4</v>
      </c>
      <c r="I258">
        <v>99</v>
      </c>
    </row>
    <row r="259" spans="1:9" x14ac:dyDescent="0.45">
      <c r="A259" t="s">
        <v>290</v>
      </c>
      <c r="B259" t="s">
        <v>22</v>
      </c>
      <c r="C259" t="s">
        <v>23</v>
      </c>
      <c r="D259" t="s">
        <v>20</v>
      </c>
      <c r="E259" t="s">
        <v>13</v>
      </c>
      <c r="F259">
        <v>8</v>
      </c>
      <c r="G259">
        <v>1902</v>
      </c>
      <c r="H259">
        <v>1</v>
      </c>
      <c r="I259">
        <v>83</v>
      </c>
    </row>
    <row r="260" spans="1:9" x14ac:dyDescent="0.45">
      <c r="A260" t="s">
        <v>291</v>
      </c>
      <c r="B260" t="s">
        <v>22</v>
      </c>
      <c r="C260" t="s">
        <v>26</v>
      </c>
      <c r="D260" t="s">
        <v>42</v>
      </c>
      <c r="E260" t="s">
        <v>17</v>
      </c>
      <c r="F260">
        <v>29</v>
      </c>
      <c r="G260">
        <v>3834</v>
      </c>
      <c r="H260">
        <v>10</v>
      </c>
      <c r="I260">
        <v>68</v>
      </c>
    </row>
    <row r="261" spans="1:9" x14ac:dyDescent="0.45">
      <c r="A261" t="s">
        <v>292</v>
      </c>
      <c r="B261" t="s">
        <v>49</v>
      </c>
      <c r="C261" t="s">
        <v>11</v>
      </c>
      <c r="D261" t="s">
        <v>27</v>
      </c>
      <c r="E261" t="s">
        <v>17</v>
      </c>
      <c r="F261">
        <v>71</v>
      </c>
      <c r="G261">
        <v>9496</v>
      </c>
      <c r="H261">
        <v>7</v>
      </c>
      <c r="I261">
        <v>90</v>
      </c>
    </row>
    <row r="262" spans="1:9" x14ac:dyDescent="0.45">
      <c r="A262" t="s">
        <v>293</v>
      </c>
      <c r="B262" t="s">
        <v>44</v>
      </c>
      <c r="C262" t="s">
        <v>11</v>
      </c>
      <c r="D262" t="s">
        <v>20</v>
      </c>
      <c r="E262" t="s">
        <v>13</v>
      </c>
      <c r="F262">
        <v>76</v>
      </c>
      <c r="G262">
        <v>14513</v>
      </c>
      <c r="H262">
        <v>7</v>
      </c>
      <c r="I262">
        <v>60</v>
      </c>
    </row>
    <row r="263" spans="1:9" x14ac:dyDescent="0.45">
      <c r="A263" t="s">
        <v>294</v>
      </c>
      <c r="B263" t="s">
        <v>10</v>
      </c>
      <c r="C263" t="s">
        <v>26</v>
      </c>
      <c r="D263" t="s">
        <v>16</v>
      </c>
      <c r="E263" t="s">
        <v>17</v>
      </c>
      <c r="F263">
        <v>4</v>
      </c>
      <c r="G263">
        <v>1665</v>
      </c>
      <c r="H263">
        <v>2</v>
      </c>
      <c r="I263">
        <v>91</v>
      </c>
    </row>
    <row r="264" spans="1:9" x14ac:dyDescent="0.45">
      <c r="A264" t="s">
        <v>295</v>
      </c>
      <c r="B264" t="s">
        <v>49</v>
      </c>
      <c r="C264" t="s">
        <v>26</v>
      </c>
      <c r="D264" t="s">
        <v>60</v>
      </c>
      <c r="E264" t="s">
        <v>13</v>
      </c>
      <c r="F264">
        <v>54</v>
      </c>
      <c r="G264">
        <v>6063</v>
      </c>
      <c r="H264">
        <v>2</v>
      </c>
      <c r="I264">
        <v>81</v>
      </c>
    </row>
    <row r="265" spans="1:9" x14ac:dyDescent="0.45">
      <c r="A265" t="s">
        <v>296</v>
      </c>
      <c r="B265" t="s">
        <v>10</v>
      </c>
      <c r="C265" t="s">
        <v>26</v>
      </c>
      <c r="D265" t="s">
        <v>27</v>
      </c>
      <c r="E265" t="s">
        <v>17</v>
      </c>
      <c r="F265">
        <v>88</v>
      </c>
      <c r="G265">
        <v>4326</v>
      </c>
      <c r="H265">
        <v>6</v>
      </c>
      <c r="I265">
        <v>79</v>
      </c>
    </row>
    <row r="266" spans="1:9" x14ac:dyDescent="0.45">
      <c r="A266" t="s">
        <v>297</v>
      </c>
      <c r="B266" t="s">
        <v>15</v>
      </c>
      <c r="C266" t="s">
        <v>11</v>
      </c>
      <c r="D266" t="s">
        <v>42</v>
      </c>
      <c r="E266" t="s">
        <v>17</v>
      </c>
      <c r="F266">
        <v>62</v>
      </c>
      <c r="G266">
        <v>12609</v>
      </c>
      <c r="H266">
        <v>8</v>
      </c>
      <c r="I266">
        <v>71</v>
      </c>
    </row>
    <row r="267" spans="1:9" x14ac:dyDescent="0.45">
      <c r="A267" t="s">
        <v>298</v>
      </c>
      <c r="B267" t="s">
        <v>19</v>
      </c>
      <c r="C267" t="s">
        <v>40</v>
      </c>
      <c r="D267" t="s">
        <v>29</v>
      </c>
      <c r="E267" t="s">
        <v>13</v>
      </c>
      <c r="F267">
        <v>41</v>
      </c>
      <c r="G267">
        <v>3329</v>
      </c>
      <c r="H267">
        <v>4</v>
      </c>
      <c r="I267">
        <v>58</v>
      </c>
    </row>
    <row r="268" spans="1:9" x14ac:dyDescent="0.45">
      <c r="A268" t="s">
        <v>299</v>
      </c>
      <c r="B268" t="s">
        <v>49</v>
      </c>
      <c r="C268" t="s">
        <v>26</v>
      </c>
      <c r="D268" t="s">
        <v>20</v>
      </c>
      <c r="E268" t="s">
        <v>13</v>
      </c>
      <c r="F268">
        <v>41</v>
      </c>
      <c r="G268">
        <v>2980</v>
      </c>
      <c r="H268">
        <v>9</v>
      </c>
      <c r="I268">
        <v>57</v>
      </c>
    </row>
    <row r="269" spans="1:9" x14ac:dyDescent="0.45">
      <c r="A269" t="s">
        <v>300</v>
      </c>
      <c r="B269" t="s">
        <v>44</v>
      </c>
      <c r="C269" t="s">
        <v>23</v>
      </c>
      <c r="D269" t="s">
        <v>60</v>
      </c>
      <c r="E269" t="s">
        <v>17</v>
      </c>
      <c r="F269">
        <v>7</v>
      </c>
      <c r="G269">
        <v>794</v>
      </c>
      <c r="H269">
        <v>2</v>
      </c>
      <c r="I269">
        <v>89</v>
      </c>
    </row>
    <row r="270" spans="1:9" x14ac:dyDescent="0.45">
      <c r="A270" t="s">
        <v>301</v>
      </c>
      <c r="B270" t="s">
        <v>25</v>
      </c>
      <c r="C270" t="s">
        <v>40</v>
      </c>
      <c r="D270" t="s">
        <v>42</v>
      </c>
      <c r="E270" t="s">
        <v>13</v>
      </c>
      <c r="F270">
        <v>74</v>
      </c>
      <c r="G270">
        <v>3061</v>
      </c>
      <c r="H270">
        <v>2</v>
      </c>
      <c r="I270">
        <v>98</v>
      </c>
    </row>
    <row r="271" spans="1:9" x14ac:dyDescent="0.45">
      <c r="A271" t="s">
        <v>302</v>
      </c>
      <c r="B271" t="s">
        <v>22</v>
      </c>
      <c r="C271" t="s">
        <v>23</v>
      </c>
      <c r="D271" t="s">
        <v>20</v>
      </c>
      <c r="E271" t="s">
        <v>17</v>
      </c>
      <c r="F271">
        <v>40</v>
      </c>
      <c r="G271">
        <v>1218</v>
      </c>
      <c r="H271">
        <v>1</v>
      </c>
      <c r="I271">
        <v>55</v>
      </c>
    </row>
    <row r="272" spans="1:9" x14ac:dyDescent="0.45">
      <c r="A272" t="s">
        <v>303</v>
      </c>
      <c r="B272" t="s">
        <v>25</v>
      </c>
      <c r="C272" t="s">
        <v>23</v>
      </c>
      <c r="D272" t="s">
        <v>60</v>
      </c>
      <c r="E272" t="s">
        <v>17</v>
      </c>
      <c r="F272">
        <v>46</v>
      </c>
      <c r="G272">
        <v>299</v>
      </c>
      <c r="H272">
        <v>1</v>
      </c>
      <c r="I272">
        <v>68</v>
      </c>
    </row>
    <row r="273" spans="1:9" x14ac:dyDescent="0.45">
      <c r="A273" t="s">
        <v>304</v>
      </c>
      <c r="B273" t="s">
        <v>25</v>
      </c>
      <c r="C273" t="s">
        <v>23</v>
      </c>
      <c r="D273" t="s">
        <v>27</v>
      </c>
      <c r="E273" t="s">
        <v>13</v>
      </c>
      <c r="F273">
        <v>14</v>
      </c>
      <c r="G273">
        <v>1082</v>
      </c>
      <c r="H273">
        <v>1</v>
      </c>
      <c r="I273">
        <v>66</v>
      </c>
    </row>
    <row r="274" spans="1:9" x14ac:dyDescent="0.45">
      <c r="A274" t="s">
        <v>305</v>
      </c>
      <c r="B274" t="s">
        <v>10</v>
      </c>
      <c r="C274" t="s">
        <v>26</v>
      </c>
      <c r="D274" t="s">
        <v>47</v>
      </c>
      <c r="E274" t="s">
        <v>17</v>
      </c>
      <c r="F274">
        <v>52</v>
      </c>
      <c r="G274">
        <v>1419</v>
      </c>
      <c r="H274">
        <v>10</v>
      </c>
      <c r="I274">
        <v>62</v>
      </c>
    </row>
    <row r="275" spans="1:9" x14ac:dyDescent="0.45">
      <c r="A275" t="s">
        <v>306</v>
      </c>
      <c r="B275" t="s">
        <v>44</v>
      </c>
      <c r="C275" t="s">
        <v>26</v>
      </c>
      <c r="D275" t="s">
        <v>31</v>
      </c>
      <c r="E275" t="s">
        <v>17</v>
      </c>
      <c r="F275">
        <v>58</v>
      </c>
      <c r="G275">
        <v>5504</v>
      </c>
      <c r="H275">
        <v>6</v>
      </c>
      <c r="I275">
        <v>89</v>
      </c>
    </row>
    <row r="276" spans="1:9" x14ac:dyDescent="0.45">
      <c r="A276" t="s">
        <v>307</v>
      </c>
      <c r="B276" t="s">
        <v>10</v>
      </c>
      <c r="C276" t="s">
        <v>11</v>
      </c>
      <c r="D276" t="s">
        <v>42</v>
      </c>
      <c r="E276" t="s">
        <v>13</v>
      </c>
      <c r="F276">
        <v>51</v>
      </c>
      <c r="G276">
        <v>11114</v>
      </c>
      <c r="H276">
        <v>10</v>
      </c>
      <c r="I276">
        <v>85</v>
      </c>
    </row>
    <row r="277" spans="1:9" x14ac:dyDescent="0.45">
      <c r="A277" t="s">
        <v>308</v>
      </c>
      <c r="B277" t="s">
        <v>44</v>
      </c>
      <c r="C277" t="s">
        <v>40</v>
      </c>
      <c r="D277" t="s">
        <v>60</v>
      </c>
      <c r="E277" t="s">
        <v>13</v>
      </c>
      <c r="F277">
        <v>52</v>
      </c>
      <c r="G277">
        <v>4596</v>
      </c>
      <c r="H277">
        <v>1</v>
      </c>
      <c r="I277">
        <v>52</v>
      </c>
    </row>
    <row r="278" spans="1:9" x14ac:dyDescent="0.45">
      <c r="A278" t="s">
        <v>309</v>
      </c>
      <c r="B278" t="s">
        <v>15</v>
      </c>
      <c r="C278" t="s">
        <v>40</v>
      </c>
      <c r="D278" t="s">
        <v>29</v>
      </c>
      <c r="E278" t="s">
        <v>13</v>
      </c>
      <c r="F278">
        <v>67</v>
      </c>
      <c r="G278">
        <v>4243</v>
      </c>
      <c r="H278">
        <v>2</v>
      </c>
      <c r="I278">
        <v>88</v>
      </c>
    </row>
    <row r="279" spans="1:9" x14ac:dyDescent="0.45">
      <c r="A279" t="s">
        <v>310</v>
      </c>
      <c r="B279" t="s">
        <v>19</v>
      </c>
      <c r="C279" t="s">
        <v>40</v>
      </c>
      <c r="D279" t="s">
        <v>29</v>
      </c>
      <c r="E279" t="s">
        <v>13</v>
      </c>
      <c r="F279">
        <v>41</v>
      </c>
      <c r="G279">
        <v>1831</v>
      </c>
      <c r="H279">
        <v>4</v>
      </c>
      <c r="I279">
        <v>89</v>
      </c>
    </row>
    <row r="280" spans="1:9" x14ac:dyDescent="0.45">
      <c r="A280" t="s">
        <v>311</v>
      </c>
      <c r="B280" t="s">
        <v>10</v>
      </c>
      <c r="C280" t="s">
        <v>26</v>
      </c>
      <c r="D280" t="s">
        <v>16</v>
      </c>
      <c r="E280" t="s">
        <v>17</v>
      </c>
      <c r="F280">
        <v>66</v>
      </c>
      <c r="G280">
        <v>5360</v>
      </c>
      <c r="H280">
        <v>9</v>
      </c>
      <c r="I280">
        <v>95</v>
      </c>
    </row>
    <row r="281" spans="1:9" x14ac:dyDescent="0.45">
      <c r="A281" t="s">
        <v>312</v>
      </c>
      <c r="B281" t="s">
        <v>19</v>
      </c>
      <c r="C281" t="s">
        <v>26</v>
      </c>
      <c r="D281" t="s">
        <v>34</v>
      </c>
      <c r="E281" t="s">
        <v>13</v>
      </c>
      <c r="F281">
        <v>48</v>
      </c>
      <c r="G281">
        <v>3713</v>
      </c>
      <c r="H281">
        <v>3</v>
      </c>
      <c r="I281">
        <v>76</v>
      </c>
    </row>
    <row r="282" spans="1:9" x14ac:dyDescent="0.45">
      <c r="A282" t="s">
        <v>313</v>
      </c>
      <c r="B282" t="s">
        <v>19</v>
      </c>
      <c r="C282" t="s">
        <v>26</v>
      </c>
      <c r="D282" t="s">
        <v>12</v>
      </c>
      <c r="E282" t="s">
        <v>13</v>
      </c>
      <c r="F282">
        <v>34</v>
      </c>
      <c r="G282">
        <v>6370</v>
      </c>
      <c r="H282">
        <v>5</v>
      </c>
      <c r="I282">
        <v>96</v>
      </c>
    </row>
    <row r="283" spans="1:9" x14ac:dyDescent="0.45">
      <c r="A283" t="s">
        <v>314</v>
      </c>
      <c r="B283" t="s">
        <v>15</v>
      </c>
      <c r="C283" t="s">
        <v>23</v>
      </c>
      <c r="D283" t="s">
        <v>42</v>
      </c>
      <c r="E283" t="s">
        <v>13</v>
      </c>
      <c r="F283">
        <v>80</v>
      </c>
      <c r="G283">
        <v>1786</v>
      </c>
      <c r="H283">
        <v>2</v>
      </c>
      <c r="I283">
        <v>59</v>
      </c>
    </row>
    <row r="284" spans="1:9" x14ac:dyDescent="0.45">
      <c r="A284" t="s">
        <v>315</v>
      </c>
      <c r="B284" t="s">
        <v>49</v>
      </c>
      <c r="C284" t="s">
        <v>40</v>
      </c>
      <c r="D284" t="s">
        <v>12</v>
      </c>
      <c r="E284" t="s">
        <v>13</v>
      </c>
      <c r="F284">
        <v>90</v>
      </c>
      <c r="G284">
        <v>1400</v>
      </c>
      <c r="H284">
        <v>2</v>
      </c>
      <c r="I284">
        <v>51</v>
      </c>
    </row>
    <row r="285" spans="1:9" x14ac:dyDescent="0.45">
      <c r="A285" t="s">
        <v>316</v>
      </c>
      <c r="B285" t="s">
        <v>25</v>
      </c>
      <c r="C285" t="s">
        <v>26</v>
      </c>
      <c r="D285" t="s">
        <v>47</v>
      </c>
      <c r="E285" t="s">
        <v>17</v>
      </c>
      <c r="F285">
        <v>89</v>
      </c>
      <c r="G285">
        <v>2670</v>
      </c>
      <c r="H285">
        <v>8</v>
      </c>
      <c r="I285">
        <v>82</v>
      </c>
    </row>
    <row r="286" spans="1:9" x14ac:dyDescent="0.45">
      <c r="A286" t="s">
        <v>317</v>
      </c>
      <c r="B286" t="s">
        <v>49</v>
      </c>
      <c r="C286" t="s">
        <v>23</v>
      </c>
      <c r="D286" t="s">
        <v>12</v>
      </c>
      <c r="E286" t="s">
        <v>13</v>
      </c>
      <c r="F286">
        <v>67</v>
      </c>
      <c r="G286">
        <v>624</v>
      </c>
      <c r="H286">
        <v>3</v>
      </c>
      <c r="I286">
        <v>70</v>
      </c>
    </row>
    <row r="287" spans="1:9" x14ac:dyDescent="0.45">
      <c r="A287" t="s">
        <v>318</v>
      </c>
      <c r="B287" t="s">
        <v>10</v>
      </c>
      <c r="C287" t="s">
        <v>23</v>
      </c>
      <c r="D287" t="s">
        <v>20</v>
      </c>
      <c r="E287" t="s">
        <v>17</v>
      </c>
      <c r="F287">
        <v>23</v>
      </c>
      <c r="G287">
        <v>1141</v>
      </c>
      <c r="H287">
        <v>3</v>
      </c>
      <c r="I287">
        <v>71</v>
      </c>
    </row>
    <row r="288" spans="1:9" x14ac:dyDescent="0.45">
      <c r="A288" t="s">
        <v>319</v>
      </c>
      <c r="B288" t="s">
        <v>19</v>
      </c>
      <c r="C288" t="s">
        <v>26</v>
      </c>
      <c r="D288" t="s">
        <v>27</v>
      </c>
      <c r="E288" t="s">
        <v>13</v>
      </c>
      <c r="F288">
        <v>25</v>
      </c>
      <c r="G288">
        <v>3019</v>
      </c>
      <c r="H288">
        <v>6</v>
      </c>
      <c r="I288">
        <v>85</v>
      </c>
    </row>
    <row r="289" spans="1:9" x14ac:dyDescent="0.45">
      <c r="A289" t="s">
        <v>320</v>
      </c>
      <c r="B289" t="s">
        <v>44</v>
      </c>
      <c r="C289" t="s">
        <v>40</v>
      </c>
      <c r="D289" t="s">
        <v>27</v>
      </c>
      <c r="E289" t="s">
        <v>13</v>
      </c>
      <c r="F289">
        <v>27</v>
      </c>
      <c r="G289">
        <v>4505</v>
      </c>
      <c r="H289">
        <v>3</v>
      </c>
      <c r="I289">
        <v>80</v>
      </c>
    </row>
    <row r="290" spans="1:9" x14ac:dyDescent="0.45">
      <c r="A290" t="s">
        <v>321</v>
      </c>
      <c r="B290" t="s">
        <v>44</v>
      </c>
      <c r="C290" t="s">
        <v>26</v>
      </c>
      <c r="D290" t="s">
        <v>27</v>
      </c>
      <c r="E290" t="s">
        <v>17</v>
      </c>
      <c r="F290">
        <v>87</v>
      </c>
      <c r="G290">
        <v>5449</v>
      </c>
      <c r="H290">
        <v>8</v>
      </c>
      <c r="I290">
        <v>75</v>
      </c>
    </row>
    <row r="291" spans="1:9" x14ac:dyDescent="0.45">
      <c r="A291" t="s">
        <v>322</v>
      </c>
      <c r="B291" t="s">
        <v>49</v>
      </c>
      <c r="C291" t="s">
        <v>26</v>
      </c>
      <c r="D291" t="s">
        <v>42</v>
      </c>
      <c r="E291" t="s">
        <v>17</v>
      </c>
      <c r="F291">
        <v>37</v>
      </c>
      <c r="G291">
        <v>6850</v>
      </c>
      <c r="H291">
        <v>3</v>
      </c>
      <c r="I291">
        <v>72</v>
      </c>
    </row>
    <row r="292" spans="1:9" x14ac:dyDescent="0.45">
      <c r="A292" t="s">
        <v>323</v>
      </c>
      <c r="B292" t="s">
        <v>25</v>
      </c>
      <c r="C292" t="s">
        <v>26</v>
      </c>
      <c r="D292" t="s">
        <v>34</v>
      </c>
      <c r="E292" t="s">
        <v>17</v>
      </c>
      <c r="F292">
        <v>69</v>
      </c>
      <c r="G292">
        <v>3221</v>
      </c>
      <c r="H292">
        <v>10</v>
      </c>
      <c r="I292">
        <v>94</v>
      </c>
    </row>
    <row r="293" spans="1:9" x14ac:dyDescent="0.45">
      <c r="A293" t="s">
        <v>324</v>
      </c>
      <c r="B293" t="s">
        <v>44</v>
      </c>
      <c r="C293" t="s">
        <v>40</v>
      </c>
      <c r="D293" t="s">
        <v>31</v>
      </c>
      <c r="E293" t="s">
        <v>13</v>
      </c>
      <c r="F293">
        <v>76</v>
      </c>
      <c r="G293">
        <v>2460</v>
      </c>
      <c r="H293">
        <v>2</v>
      </c>
      <c r="I293">
        <v>53</v>
      </c>
    </row>
    <row r="294" spans="1:9" x14ac:dyDescent="0.45">
      <c r="A294" t="s">
        <v>325</v>
      </c>
      <c r="B294" t="s">
        <v>10</v>
      </c>
      <c r="C294" t="s">
        <v>40</v>
      </c>
      <c r="D294" t="s">
        <v>60</v>
      </c>
      <c r="E294" t="s">
        <v>17</v>
      </c>
      <c r="F294">
        <v>53</v>
      </c>
      <c r="G294">
        <v>3205</v>
      </c>
      <c r="H294">
        <v>4</v>
      </c>
      <c r="I294">
        <v>56</v>
      </c>
    </row>
    <row r="295" spans="1:9" x14ac:dyDescent="0.45">
      <c r="A295" t="s">
        <v>326</v>
      </c>
      <c r="B295" t="s">
        <v>10</v>
      </c>
      <c r="C295" t="s">
        <v>40</v>
      </c>
      <c r="D295" t="s">
        <v>12</v>
      </c>
      <c r="E295" t="s">
        <v>13</v>
      </c>
      <c r="F295">
        <v>21</v>
      </c>
      <c r="G295">
        <v>3833</v>
      </c>
      <c r="H295">
        <v>4</v>
      </c>
      <c r="I295">
        <v>80</v>
      </c>
    </row>
    <row r="296" spans="1:9" x14ac:dyDescent="0.45">
      <c r="A296" t="s">
        <v>327</v>
      </c>
      <c r="B296" t="s">
        <v>10</v>
      </c>
      <c r="C296" t="s">
        <v>40</v>
      </c>
      <c r="D296" t="s">
        <v>27</v>
      </c>
      <c r="E296" t="s">
        <v>17</v>
      </c>
      <c r="F296">
        <v>83</v>
      </c>
      <c r="G296">
        <v>984</v>
      </c>
      <c r="H296">
        <v>1</v>
      </c>
      <c r="I296">
        <v>91</v>
      </c>
    </row>
    <row r="297" spans="1:9" x14ac:dyDescent="0.45">
      <c r="A297" t="s">
        <v>328</v>
      </c>
      <c r="B297" t="s">
        <v>19</v>
      </c>
      <c r="C297" t="s">
        <v>40</v>
      </c>
      <c r="D297" t="s">
        <v>20</v>
      </c>
      <c r="E297" t="s">
        <v>13</v>
      </c>
      <c r="F297">
        <v>5</v>
      </c>
      <c r="G297">
        <v>1934</v>
      </c>
      <c r="H297">
        <v>4</v>
      </c>
      <c r="I297">
        <v>61</v>
      </c>
    </row>
    <row r="298" spans="1:9" x14ac:dyDescent="0.45">
      <c r="A298" t="s">
        <v>329</v>
      </c>
      <c r="B298" t="s">
        <v>15</v>
      </c>
      <c r="C298" t="s">
        <v>23</v>
      </c>
      <c r="D298" t="s">
        <v>34</v>
      </c>
      <c r="E298" t="s">
        <v>17</v>
      </c>
      <c r="F298">
        <v>38</v>
      </c>
      <c r="G298">
        <v>1995</v>
      </c>
      <c r="H298">
        <v>1</v>
      </c>
      <c r="I298">
        <v>50</v>
      </c>
    </row>
    <row r="299" spans="1:9" x14ac:dyDescent="0.45">
      <c r="A299" t="s">
        <v>330</v>
      </c>
      <c r="B299" t="s">
        <v>44</v>
      </c>
      <c r="C299" t="s">
        <v>11</v>
      </c>
      <c r="D299" t="s">
        <v>29</v>
      </c>
      <c r="E299" t="s">
        <v>17</v>
      </c>
      <c r="F299">
        <v>83</v>
      </c>
      <c r="G299">
        <v>13901</v>
      </c>
      <c r="H299">
        <v>13</v>
      </c>
      <c r="I299">
        <v>81</v>
      </c>
    </row>
    <row r="300" spans="1:9" x14ac:dyDescent="0.45">
      <c r="A300" t="s">
        <v>331</v>
      </c>
      <c r="B300" t="s">
        <v>22</v>
      </c>
      <c r="C300" t="s">
        <v>23</v>
      </c>
      <c r="D300" t="s">
        <v>27</v>
      </c>
      <c r="E300" t="s">
        <v>17</v>
      </c>
      <c r="F300">
        <v>15</v>
      </c>
      <c r="G300">
        <v>877</v>
      </c>
      <c r="H300">
        <v>1</v>
      </c>
      <c r="I300">
        <v>96</v>
      </c>
    </row>
    <row r="301" spans="1:9" x14ac:dyDescent="0.45">
      <c r="A301" t="s">
        <v>332</v>
      </c>
      <c r="B301" t="s">
        <v>25</v>
      </c>
      <c r="C301" t="s">
        <v>26</v>
      </c>
      <c r="D301" t="s">
        <v>42</v>
      </c>
      <c r="E301" t="s">
        <v>17</v>
      </c>
      <c r="F301">
        <v>44</v>
      </c>
      <c r="G301">
        <v>3416</v>
      </c>
      <c r="H301">
        <v>5</v>
      </c>
      <c r="I301">
        <v>61</v>
      </c>
    </row>
    <row r="302" spans="1:9" x14ac:dyDescent="0.45">
      <c r="A302" t="s">
        <v>333</v>
      </c>
      <c r="B302" t="s">
        <v>19</v>
      </c>
      <c r="C302" t="s">
        <v>23</v>
      </c>
      <c r="D302" t="s">
        <v>47</v>
      </c>
      <c r="E302" t="s">
        <v>13</v>
      </c>
      <c r="F302">
        <v>12</v>
      </c>
      <c r="G302">
        <v>1020</v>
      </c>
      <c r="H302">
        <v>3</v>
      </c>
      <c r="I302">
        <v>56</v>
      </c>
    </row>
    <row r="303" spans="1:9" x14ac:dyDescent="0.45">
      <c r="A303" t="s">
        <v>334</v>
      </c>
      <c r="B303" t="s">
        <v>22</v>
      </c>
      <c r="C303" t="s">
        <v>40</v>
      </c>
      <c r="D303" t="s">
        <v>34</v>
      </c>
      <c r="E303" t="s">
        <v>17</v>
      </c>
      <c r="F303">
        <v>32</v>
      </c>
      <c r="G303">
        <v>555</v>
      </c>
      <c r="H303">
        <v>3</v>
      </c>
      <c r="I303">
        <v>74</v>
      </c>
    </row>
    <row r="304" spans="1:9" x14ac:dyDescent="0.45">
      <c r="A304" t="s">
        <v>335</v>
      </c>
      <c r="B304" t="s">
        <v>22</v>
      </c>
      <c r="C304" t="s">
        <v>23</v>
      </c>
      <c r="D304" t="s">
        <v>27</v>
      </c>
      <c r="E304" t="s">
        <v>13</v>
      </c>
      <c r="F304">
        <v>39</v>
      </c>
      <c r="G304">
        <v>1392</v>
      </c>
      <c r="H304">
        <v>3</v>
      </c>
      <c r="I304">
        <v>86</v>
      </c>
    </row>
    <row r="305" spans="1:9" x14ac:dyDescent="0.45">
      <c r="A305" t="s">
        <v>336</v>
      </c>
      <c r="B305" t="s">
        <v>15</v>
      </c>
      <c r="C305" t="s">
        <v>26</v>
      </c>
      <c r="D305" t="s">
        <v>29</v>
      </c>
      <c r="E305" t="s">
        <v>13</v>
      </c>
      <c r="F305">
        <v>8</v>
      </c>
      <c r="G305">
        <v>6470</v>
      </c>
      <c r="H305">
        <v>3</v>
      </c>
      <c r="I305">
        <v>79</v>
      </c>
    </row>
    <row r="306" spans="1:9" x14ac:dyDescent="0.45">
      <c r="A306" t="s">
        <v>337</v>
      </c>
      <c r="B306" t="s">
        <v>44</v>
      </c>
      <c r="C306" t="s">
        <v>40</v>
      </c>
      <c r="D306" t="s">
        <v>47</v>
      </c>
      <c r="E306" t="s">
        <v>13</v>
      </c>
      <c r="F306">
        <v>40</v>
      </c>
      <c r="G306">
        <v>1461</v>
      </c>
      <c r="H306">
        <v>3</v>
      </c>
      <c r="I306">
        <v>73</v>
      </c>
    </row>
    <row r="307" spans="1:9" x14ac:dyDescent="0.45">
      <c r="A307" t="s">
        <v>338</v>
      </c>
      <c r="B307" t="s">
        <v>19</v>
      </c>
      <c r="C307" t="s">
        <v>40</v>
      </c>
      <c r="D307" t="s">
        <v>60</v>
      </c>
      <c r="E307" t="s">
        <v>13</v>
      </c>
      <c r="F307">
        <v>62</v>
      </c>
      <c r="G307">
        <v>1754</v>
      </c>
      <c r="H307">
        <v>4</v>
      </c>
      <c r="I307">
        <v>97</v>
      </c>
    </row>
    <row r="308" spans="1:9" x14ac:dyDescent="0.45">
      <c r="A308" t="s">
        <v>339</v>
      </c>
      <c r="B308" t="s">
        <v>19</v>
      </c>
      <c r="C308" t="s">
        <v>26</v>
      </c>
      <c r="D308" t="s">
        <v>47</v>
      </c>
      <c r="E308" t="s">
        <v>13</v>
      </c>
      <c r="F308">
        <v>61</v>
      </c>
      <c r="G308">
        <v>5403</v>
      </c>
      <c r="H308">
        <v>5</v>
      </c>
      <c r="I308">
        <v>98</v>
      </c>
    </row>
    <row r="309" spans="1:9" x14ac:dyDescent="0.45">
      <c r="A309" t="s">
        <v>340</v>
      </c>
      <c r="B309" t="s">
        <v>22</v>
      </c>
      <c r="C309" t="s">
        <v>11</v>
      </c>
      <c r="D309" t="s">
        <v>20</v>
      </c>
      <c r="E309" t="s">
        <v>17</v>
      </c>
      <c r="F309">
        <v>47</v>
      </c>
      <c r="G309">
        <v>6279</v>
      </c>
      <c r="H309">
        <v>14</v>
      </c>
      <c r="I309">
        <v>57</v>
      </c>
    </row>
    <row r="310" spans="1:9" x14ac:dyDescent="0.45">
      <c r="A310" t="s">
        <v>341</v>
      </c>
      <c r="B310" t="s">
        <v>15</v>
      </c>
      <c r="C310" t="s">
        <v>40</v>
      </c>
      <c r="D310" t="s">
        <v>16</v>
      </c>
      <c r="E310" t="s">
        <v>13</v>
      </c>
      <c r="F310">
        <v>22</v>
      </c>
      <c r="G310">
        <v>3187</v>
      </c>
      <c r="H310">
        <v>5</v>
      </c>
      <c r="I310">
        <v>78</v>
      </c>
    </row>
    <row r="311" spans="1:9" x14ac:dyDescent="0.45">
      <c r="A311" t="s">
        <v>342</v>
      </c>
      <c r="B311" t="s">
        <v>15</v>
      </c>
      <c r="C311" t="s">
        <v>40</v>
      </c>
      <c r="D311" t="s">
        <v>16</v>
      </c>
      <c r="E311" t="s">
        <v>17</v>
      </c>
      <c r="F311">
        <v>66</v>
      </c>
      <c r="G311">
        <v>4149</v>
      </c>
      <c r="H311">
        <v>1</v>
      </c>
      <c r="I311">
        <v>79</v>
      </c>
    </row>
    <row r="312" spans="1:9" x14ac:dyDescent="0.45">
      <c r="A312" t="s">
        <v>343</v>
      </c>
      <c r="B312" t="s">
        <v>22</v>
      </c>
      <c r="C312" t="s">
        <v>23</v>
      </c>
      <c r="D312" t="s">
        <v>34</v>
      </c>
      <c r="E312" t="s">
        <v>13</v>
      </c>
      <c r="F312">
        <v>72</v>
      </c>
      <c r="G312">
        <v>1146</v>
      </c>
      <c r="H312">
        <v>3</v>
      </c>
      <c r="I312">
        <v>69</v>
      </c>
    </row>
    <row r="313" spans="1:9" x14ac:dyDescent="0.45">
      <c r="A313" t="s">
        <v>344</v>
      </c>
      <c r="B313" t="s">
        <v>10</v>
      </c>
      <c r="C313" t="s">
        <v>11</v>
      </c>
      <c r="D313" t="s">
        <v>47</v>
      </c>
      <c r="E313" t="s">
        <v>17</v>
      </c>
      <c r="F313">
        <v>1</v>
      </c>
      <c r="G313">
        <v>17219</v>
      </c>
      <c r="H313">
        <v>8</v>
      </c>
      <c r="I313">
        <v>87</v>
      </c>
    </row>
    <row r="314" spans="1:9" x14ac:dyDescent="0.45">
      <c r="A314" t="s">
        <v>345</v>
      </c>
      <c r="B314" t="s">
        <v>15</v>
      </c>
      <c r="C314" t="s">
        <v>11</v>
      </c>
      <c r="D314" t="s">
        <v>47</v>
      </c>
      <c r="E314" t="s">
        <v>17</v>
      </c>
      <c r="F314">
        <v>9</v>
      </c>
      <c r="G314">
        <v>13866</v>
      </c>
      <c r="H314">
        <v>5</v>
      </c>
      <c r="I314">
        <v>54</v>
      </c>
    </row>
    <row r="315" spans="1:9" x14ac:dyDescent="0.45">
      <c r="A315" t="s">
        <v>346</v>
      </c>
      <c r="B315" t="s">
        <v>25</v>
      </c>
      <c r="C315" t="s">
        <v>11</v>
      </c>
      <c r="D315" t="s">
        <v>27</v>
      </c>
      <c r="E315" t="s">
        <v>17</v>
      </c>
      <c r="F315">
        <v>18</v>
      </c>
      <c r="G315">
        <v>17547</v>
      </c>
      <c r="H315">
        <v>15</v>
      </c>
      <c r="I315">
        <v>96</v>
      </c>
    </row>
    <row r="316" spans="1:9" x14ac:dyDescent="0.45">
      <c r="A316" t="s">
        <v>347</v>
      </c>
      <c r="B316" t="s">
        <v>10</v>
      </c>
      <c r="C316" t="s">
        <v>23</v>
      </c>
      <c r="D316" t="s">
        <v>29</v>
      </c>
      <c r="E316" t="s">
        <v>37</v>
      </c>
      <c r="F316">
        <v>49</v>
      </c>
      <c r="G316">
        <v>1118</v>
      </c>
      <c r="H316">
        <v>2</v>
      </c>
      <c r="I316">
        <v>74</v>
      </c>
    </row>
    <row r="317" spans="1:9" x14ac:dyDescent="0.45">
      <c r="A317" t="s">
        <v>348</v>
      </c>
      <c r="B317" t="s">
        <v>15</v>
      </c>
      <c r="C317" t="s">
        <v>40</v>
      </c>
      <c r="D317" t="s">
        <v>29</v>
      </c>
      <c r="E317" t="s">
        <v>17</v>
      </c>
      <c r="F317">
        <v>69</v>
      </c>
      <c r="G317">
        <v>3719</v>
      </c>
      <c r="H317">
        <v>5</v>
      </c>
      <c r="I317">
        <v>58</v>
      </c>
    </row>
    <row r="318" spans="1:9" x14ac:dyDescent="0.45">
      <c r="A318" t="s">
        <v>349</v>
      </c>
      <c r="B318" t="s">
        <v>10</v>
      </c>
      <c r="C318" t="s">
        <v>40</v>
      </c>
      <c r="D318" t="s">
        <v>12</v>
      </c>
      <c r="E318" t="s">
        <v>13</v>
      </c>
      <c r="F318">
        <v>39</v>
      </c>
      <c r="G318">
        <v>4292</v>
      </c>
      <c r="H318">
        <v>5</v>
      </c>
      <c r="I318">
        <v>77</v>
      </c>
    </row>
    <row r="319" spans="1:9" x14ac:dyDescent="0.45">
      <c r="A319" t="s">
        <v>350</v>
      </c>
      <c r="B319" t="s">
        <v>19</v>
      </c>
      <c r="C319" t="s">
        <v>23</v>
      </c>
      <c r="D319" t="s">
        <v>60</v>
      </c>
      <c r="E319" t="s">
        <v>17</v>
      </c>
      <c r="F319">
        <v>45</v>
      </c>
      <c r="G319">
        <v>517</v>
      </c>
      <c r="H319">
        <v>2</v>
      </c>
      <c r="I319">
        <v>62</v>
      </c>
    </row>
    <row r="320" spans="1:9" x14ac:dyDescent="0.45">
      <c r="A320" t="s">
        <v>351</v>
      </c>
      <c r="B320" t="s">
        <v>10</v>
      </c>
      <c r="C320" t="s">
        <v>11</v>
      </c>
      <c r="D320" t="s">
        <v>12</v>
      </c>
      <c r="E320" t="s">
        <v>13</v>
      </c>
      <c r="F320">
        <v>54</v>
      </c>
      <c r="G320">
        <v>15074</v>
      </c>
      <c r="H320">
        <v>5</v>
      </c>
      <c r="I320">
        <v>65</v>
      </c>
    </row>
    <row r="321" spans="1:9" x14ac:dyDescent="0.45">
      <c r="A321" t="s">
        <v>352</v>
      </c>
      <c r="B321" t="s">
        <v>22</v>
      </c>
      <c r="C321" t="s">
        <v>11</v>
      </c>
      <c r="D321" t="s">
        <v>31</v>
      </c>
      <c r="E321" t="s">
        <v>13</v>
      </c>
      <c r="F321">
        <v>58</v>
      </c>
      <c r="G321">
        <v>14794</v>
      </c>
      <c r="H321">
        <v>15</v>
      </c>
      <c r="I321">
        <v>95</v>
      </c>
    </row>
    <row r="322" spans="1:9" x14ac:dyDescent="0.45">
      <c r="A322" t="s">
        <v>353</v>
      </c>
      <c r="B322" t="s">
        <v>49</v>
      </c>
      <c r="C322" t="s">
        <v>11</v>
      </c>
      <c r="D322" t="s">
        <v>60</v>
      </c>
      <c r="E322" t="s">
        <v>13</v>
      </c>
      <c r="F322">
        <v>52</v>
      </c>
      <c r="G322">
        <v>12191</v>
      </c>
      <c r="H322">
        <v>8</v>
      </c>
      <c r="I322">
        <v>84</v>
      </c>
    </row>
    <row r="323" spans="1:9" x14ac:dyDescent="0.45">
      <c r="A323" t="s">
        <v>354</v>
      </c>
      <c r="B323" t="s">
        <v>22</v>
      </c>
      <c r="C323" t="s">
        <v>11</v>
      </c>
      <c r="D323" t="s">
        <v>42</v>
      </c>
      <c r="E323" t="s">
        <v>13</v>
      </c>
      <c r="F323">
        <v>38</v>
      </c>
      <c r="G323">
        <v>8836</v>
      </c>
      <c r="H323">
        <v>14</v>
      </c>
      <c r="I323">
        <v>70</v>
      </c>
    </row>
    <row r="324" spans="1:9" x14ac:dyDescent="0.45">
      <c r="A324" t="s">
        <v>355</v>
      </c>
      <c r="B324" t="s">
        <v>19</v>
      </c>
      <c r="C324" t="s">
        <v>26</v>
      </c>
      <c r="D324" t="s">
        <v>60</v>
      </c>
      <c r="E324" t="s">
        <v>17</v>
      </c>
      <c r="F324">
        <v>19</v>
      </c>
      <c r="G324">
        <v>6408</v>
      </c>
      <c r="H324">
        <v>10</v>
      </c>
      <c r="I324">
        <v>64</v>
      </c>
    </row>
    <row r="325" spans="1:9" x14ac:dyDescent="0.45">
      <c r="A325" t="s">
        <v>356</v>
      </c>
      <c r="B325" t="s">
        <v>25</v>
      </c>
      <c r="C325" t="s">
        <v>26</v>
      </c>
      <c r="D325" t="s">
        <v>27</v>
      </c>
      <c r="E325" t="s">
        <v>17</v>
      </c>
      <c r="F325">
        <v>76</v>
      </c>
      <c r="G325">
        <v>2434</v>
      </c>
      <c r="H325">
        <v>8</v>
      </c>
      <c r="I325">
        <v>85</v>
      </c>
    </row>
    <row r="326" spans="1:9" x14ac:dyDescent="0.45">
      <c r="A326" t="s">
        <v>357</v>
      </c>
      <c r="B326" t="s">
        <v>25</v>
      </c>
      <c r="C326" t="s">
        <v>11</v>
      </c>
      <c r="D326" t="s">
        <v>29</v>
      </c>
      <c r="E326" t="s">
        <v>13</v>
      </c>
      <c r="F326">
        <v>86</v>
      </c>
      <c r="G326">
        <v>11244</v>
      </c>
      <c r="H326">
        <v>13</v>
      </c>
      <c r="I326">
        <v>70</v>
      </c>
    </row>
    <row r="327" spans="1:9" x14ac:dyDescent="0.45">
      <c r="A327" t="s">
        <v>358</v>
      </c>
      <c r="B327" t="s">
        <v>10</v>
      </c>
      <c r="C327" t="s">
        <v>23</v>
      </c>
      <c r="D327" t="s">
        <v>47</v>
      </c>
      <c r="E327" t="s">
        <v>17</v>
      </c>
      <c r="F327">
        <v>49</v>
      </c>
      <c r="G327">
        <v>576</v>
      </c>
      <c r="H327">
        <v>3</v>
      </c>
      <c r="I327">
        <v>80</v>
      </c>
    </row>
    <row r="328" spans="1:9" x14ac:dyDescent="0.45">
      <c r="A328" t="s">
        <v>359</v>
      </c>
      <c r="B328" t="s">
        <v>22</v>
      </c>
      <c r="C328" t="s">
        <v>40</v>
      </c>
      <c r="D328" t="s">
        <v>27</v>
      </c>
      <c r="E328" t="s">
        <v>13</v>
      </c>
      <c r="F328">
        <v>19</v>
      </c>
      <c r="G328">
        <v>4293</v>
      </c>
      <c r="H328">
        <v>1</v>
      </c>
      <c r="I328">
        <v>85</v>
      </c>
    </row>
    <row r="329" spans="1:9" x14ac:dyDescent="0.45">
      <c r="A329" t="s">
        <v>360</v>
      </c>
      <c r="B329" t="s">
        <v>25</v>
      </c>
      <c r="C329" t="s">
        <v>23</v>
      </c>
      <c r="D329" t="s">
        <v>20</v>
      </c>
      <c r="E329" t="s">
        <v>13</v>
      </c>
      <c r="F329">
        <v>50</v>
      </c>
      <c r="G329">
        <v>697</v>
      </c>
      <c r="H329">
        <v>2</v>
      </c>
      <c r="I329">
        <v>63</v>
      </c>
    </row>
    <row r="330" spans="1:9" x14ac:dyDescent="0.45">
      <c r="A330" t="s">
        <v>361</v>
      </c>
      <c r="B330" t="s">
        <v>44</v>
      </c>
      <c r="C330" t="s">
        <v>11</v>
      </c>
      <c r="D330" t="s">
        <v>34</v>
      </c>
      <c r="E330" t="s">
        <v>13</v>
      </c>
      <c r="F330">
        <v>12</v>
      </c>
      <c r="G330">
        <v>13775</v>
      </c>
      <c r="H330">
        <v>8</v>
      </c>
      <c r="I330">
        <v>53</v>
      </c>
    </row>
    <row r="331" spans="1:9" x14ac:dyDescent="0.45">
      <c r="A331" t="s">
        <v>362</v>
      </c>
      <c r="B331" t="s">
        <v>44</v>
      </c>
      <c r="C331" t="s">
        <v>23</v>
      </c>
      <c r="D331" t="s">
        <v>16</v>
      </c>
      <c r="E331" t="s">
        <v>13</v>
      </c>
      <c r="F331">
        <v>10</v>
      </c>
      <c r="G331">
        <v>585</v>
      </c>
      <c r="H331">
        <v>3</v>
      </c>
      <c r="I331">
        <v>96</v>
      </c>
    </row>
    <row r="332" spans="1:9" x14ac:dyDescent="0.45">
      <c r="A332" t="s">
        <v>363</v>
      </c>
      <c r="B332" t="s">
        <v>10</v>
      </c>
      <c r="C332" t="s">
        <v>40</v>
      </c>
      <c r="D332" t="s">
        <v>34</v>
      </c>
      <c r="E332" t="s">
        <v>17</v>
      </c>
      <c r="F332">
        <v>43</v>
      </c>
      <c r="G332">
        <v>2983</v>
      </c>
      <c r="H332">
        <v>1</v>
      </c>
      <c r="I332">
        <v>63</v>
      </c>
    </row>
    <row r="333" spans="1:9" x14ac:dyDescent="0.45">
      <c r="A333" t="s">
        <v>364</v>
      </c>
      <c r="B333" t="s">
        <v>22</v>
      </c>
      <c r="C333" t="s">
        <v>11</v>
      </c>
      <c r="D333" t="s">
        <v>34</v>
      </c>
      <c r="E333" t="s">
        <v>13</v>
      </c>
      <c r="F333">
        <v>90</v>
      </c>
      <c r="G333">
        <v>14902</v>
      </c>
      <c r="H333">
        <v>8</v>
      </c>
      <c r="I333">
        <v>75</v>
      </c>
    </row>
    <row r="334" spans="1:9" x14ac:dyDescent="0.45">
      <c r="A334" t="s">
        <v>365</v>
      </c>
      <c r="B334" t="s">
        <v>22</v>
      </c>
      <c r="C334" t="s">
        <v>26</v>
      </c>
      <c r="D334" t="s">
        <v>27</v>
      </c>
      <c r="E334" t="s">
        <v>17</v>
      </c>
      <c r="F334">
        <v>69</v>
      </c>
      <c r="G334">
        <v>6314</v>
      </c>
      <c r="H334">
        <v>7</v>
      </c>
      <c r="I334">
        <v>69</v>
      </c>
    </row>
    <row r="335" spans="1:9" x14ac:dyDescent="0.45">
      <c r="A335" t="s">
        <v>366</v>
      </c>
      <c r="B335" t="s">
        <v>44</v>
      </c>
      <c r="C335" t="s">
        <v>26</v>
      </c>
      <c r="D335" t="s">
        <v>20</v>
      </c>
      <c r="E335" t="s">
        <v>13</v>
      </c>
      <c r="F335">
        <v>60</v>
      </c>
      <c r="G335">
        <v>1807</v>
      </c>
      <c r="H335">
        <v>9</v>
      </c>
      <c r="I335">
        <v>98</v>
      </c>
    </row>
    <row r="336" spans="1:9" x14ac:dyDescent="0.45">
      <c r="A336" t="s">
        <v>367</v>
      </c>
      <c r="B336" t="s">
        <v>49</v>
      </c>
      <c r="C336" t="s">
        <v>26</v>
      </c>
      <c r="D336" t="s">
        <v>60</v>
      </c>
      <c r="E336" t="s">
        <v>17</v>
      </c>
      <c r="F336">
        <v>53</v>
      </c>
      <c r="G336">
        <v>1374</v>
      </c>
      <c r="H336">
        <v>5</v>
      </c>
      <c r="I336">
        <v>97</v>
      </c>
    </row>
    <row r="337" spans="1:9" x14ac:dyDescent="0.45">
      <c r="A337" t="s">
        <v>368</v>
      </c>
      <c r="B337" t="s">
        <v>22</v>
      </c>
      <c r="C337" t="s">
        <v>11</v>
      </c>
      <c r="D337" t="s">
        <v>27</v>
      </c>
      <c r="E337" t="s">
        <v>13</v>
      </c>
      <c r="F337">
        <v>75</v>
      </c>
      <c r="G337">
        <v>14488</v>
      </c>
      <c r="H337">
        <v>11</v>
      </c>
      <c r="I337">
        <v>68</v>
      </c>
    </row>
    <row r="338" spans="1:9" x14ac:dyDescent="0.45">
      <c r="A338" t="s">
        <v>369</v>
      </c>
      <c r="B338" t="s">
        <v>22</v>
      </c>
      <c r="C338" t="s">
        <v>40</v>
      </c>
      <c r="D338" t="s">
        <v>29</v>
      </c>
      <c r="E338" t="s">
        <v>17</v>
      </c>
      <c r="F338">
        <v>73</v>
      </c>
      <c r="G338">
        <v>2513</v>
      </c>
      <c r="H338">
        <v>4</v>
      </c>
      <c r="I338">
        <v>85</v>
      </c>
    </row>
    <row r="339" spans="1:9" x14ac:dyDescent="0.45">
      <c r="A339" t="s">
        <v>370</v>
      </c>
      <c r="B339" t="s">
        <v>10</v>
      </c>
      <c r="C339" t="s">
        <v>26</v>
      </c>
      <c r="D339" t="s">
        <v>27</v>
      </c>
      <c r="E339" t="s">
        <v>13</v>
      </c>
      <c r="F339">
        <v>63</v>
      </c>
      <c r="G339">
        <v>6927</v>
      </c>
      <c r="H339">
        <v>9</v>
      </c>
      <c r="I339">
        <v>79</v>
      </c>
    </row>
    <row r="340" spans="1:9" x14ac:dyDescent="0.45">
      <c r="A340" t="s">
        <v>371</v>
      </c>
      <c r="B340" t="s">
        <v>22</v>
      </c>
      <c r="C340" t="s">
        <v>26</v>
      </c>
      <c r="D340" t="s">
        <v>42</v>
      </c>
      <c r="E340" t="s">
        <v>17</v>
      </c>
      <c r="F340">
        <v>70</v>
      </c>
      <c r="G340">
        <v>5000</v>
      </c>
      <c r="H340">
        <v>4</v>
      </c>
      <c r="I340">
        <v>84</v>
      </c>
    </row>
    <row r="341" spans="1:9" x14ac:dyDescent="0.45">
      <c r="A341" t="s">
        <v>372</v>
      </c>
      <c r="B341" t="s">
        <v>10</v>
      </c>
      <c r="C341" t="s">
        <v>11</v>
      </c>
      <c r="D341" t="s">
        <v>20</v>
      </c>
      <c r="E341" t="s">
        <v>17</v>
      </c>
      <c r="F341">
        <v>10</v>
      </c>
      <c r="G341">
        <v>18402</v>
      </c>
      <c r="H341">
        <v>15</v>
      </c>
      <c r="I341">
        <v>53</v>
      </c>
    </row>
    <row r="342" spans="1:9" x14ac:dyDescent="0.45">
      <c r="A342" t="s">
        <v>373</v>
      </c>
      <c r="B342" t="s">
        <v>49</v>
      </c>
      <c r="C342" t="s">
        <v>11</v>
      </c>
      <c r="D342" t="s">
        <v>47</v>
      </c>
      <c r="E342" t="s">
        <v>17</v>
      </c>
      <c r="F342">
        <v>81</v>
      </c>
      <c r="G342">
        <v>8791</v>
      </c>
      <c r="H342">
        <v>6</v>
      </c>
      <c r="I342">
        <v>95</v>
      </c>
    </row>
    <row r="343" spans="1:9" x14ac:dyDescent="0.45">
      <c r="A343" t="s">
        <v>374</v>
      </c>
      <c r="B343" t="s">
        <v>22</v>
      </c>
      <c r="C343" t="s">
        <v>11</v>
      </c>
      <c r="D343" t="s">
        <v>60</v>
      </c>
      <c r="E343" t="s">
        <v>13</v>
      </c>
      <c r="F343">
        <v>48</v>
      </c>
      <c r="G343">
        <v>5990</v>
      </c>
      <c r="H343">
        <v>14</v>
      </c>
      <c r="I343">
        <v>90</v>
      </c>
    </row>
    <row r="344" spans="1:9" x14ac:dyDescent="0.45">
      <c r="A344" t="s">
        <v>375</v>
      </c>
      <c r="B344" t="s">
        <v>10</v>
      </c>
      <c r="C344" t="s">
        <v>23</v>
      </c>
      <c r="D344" t="s">
        <v>34</v>
      </c>
      <c r="E344" t="s">
        <v>17</v>
      </c>
      <c r="F344">
        <v>69</v>
      </c>
      <c r="G344">
        <v>1329</v>
      </c>
      <c r="H344">
        <v>2</v>
      </c>
      <c r="I344">
        <v>50</v>
      </c>
    </row>
    <row r="345" spans="1:9" x14ac:dyDescent="0.45">
      <c r="A345" t="s">
        <v>376</v>
      </c>
      <c r="B345" t="s">
        <v>15</v>
      </c>
      <c r="C345" t="s">
        <v>26</v>
      </c>
      <c r="D345" t="s">
        <v>20</v>
      </c>
      <c r="E345" t="s">
        <v>13</v>
      </c>
      <c r="F345">
        <v>3</v>
      </c>
      <c r="G345">
        <v>5114</v>
      </c>
      <c r="H345">
        <v>8</v>
      </c>
      <c r="I345">
        <v>61</v>
      </c>
    </row>
    <row r="346" spans="1:9" x14ac:dyDescent="0.45">
      <c r="A346" t="s">
        <v>377</v>
      </c>
      <c r="B346" t="s">
        <v>15</v>
      </c>
      <c r="C346" t="s">
        <v>11</v>
      </c>
      <c r="D346" t="s">
        <v>20</v>
      </c>
      <c r="E346" t="s">
        <v>17</v>
      </c>
      <c r="F346">
        <v>25</v>
      </c>
      <c r="G346">
        <v>15154</v>
      </c>
      <c r="H346">
        <v>13</v>
      </c>
      <c r="I346">
        <v>66</v>
      </c>
    </row>
    <row r="347" spans="1:9" x14ac:dyDescent="0.45">
      <c r="A347" t="s">
        <v>378</v>
      </c>
      <c r="B347" t="s">
        <v>49</v>
      </c>
      <c r="C347" t="s">
        <v>26</v>
      </c>
      <c r="D347" t="s">
        <v>27</v>
      </c>
      <c r="E347" t="s">
        <v>13</v>
      </c>
      <c r="F347">
        <v>11</v>
      </c>
      <c r="G347">
        <v>4056</v>
      </c>
      <c r="H347">
        <v>8</v>
      </c>
      <c r="I347">
        <v>79</v>
      </c>
    </row>
    <row r="348" spans="1:9" x14ac:dyDescent="0.45">
      <c r="A348" t="s">
        <v>379</v>
      </c>
      <c r="B348" t="s">
        <v>19</v>
      </c>
      <c r="C348" t="s">
        <v>40</v>
      </c>
      <c r="D348" t="s">
        <v>60</v>
      </c>
      <c r="E348" t="s">
        <v>17</v>
      </c>
      <c r="F348">
        <v>11</v>
      </c>
      <c r="G348">
        <v>759</v>
      </c>
      <c r="H348">
        <v>1</v>
      </c>
      <c r="I348">
        <v>75</v>
      </c>
    </row>
    <row r="349" spans="1:9" x14ac:dyDescent="0.45">
      <c r="A349" t="s">
        <v>380</v>
      </c>
      <c r="B349" t="s">
        <v>25</v>
      </c>
      <c r="C349" t="s">
        <v>23</v>
      </c>
      <c r="D349" t="s">
        <v>20</v>
      </c>
      <c r="E349" t="s">
        <v>17</v>
      </c>
      <c r="F349">
        <v>82</v>
      </c>
      <c r="G349">
        <v>219</v>
      </c>
      <c r="H349">
        <v>3</v>
      </c>
      <c r="I349">
        <v>60</v>
      </c>
    </row>
    <row r="350" spans="1:9" x14ac:dyDescent="0.45">
      <c r="A350" t="s">
        <v>381</v>
      </c>
      <c r="B350" t="s">
        <v>15</v>
      </c>
      <c r="C350" t="s">
        <v>23</v>
      </c>
      <c r="D350" t="s">
        <v>47</v>
      </c>
      <c r="E350" t="s">
        <v>13</v>
      </c>
      <c r="F350">
        <v>43</v>
      </c>
      <c r="G350">
        <v>1358</v>
      </c>
      <c r="H350">
        <v>1</v>
      </c>
      <c r="I350">
        <v>83</v>
      </c>
    </row>
    <row r="351" spans="1:9" x14ac:dyDescent="0.45">
      <c r="A351" t="s">
        <v>382</v>
      </c>
      <c r="B351" t="s">
        <v>15</v>
      </c>
      <c r="C351" t="s">
        <v>40</v>
      </c>
      <c r="D351" t="s">
        <v>60</v>
      </c>
      <c r="E351" t="s">
        <v>13</v>
      </c>
      <c r="F351">
        <v>89</v>
      </c>
      <c r="G351">
        <v>4395</v>
      </c>
      <c r="H351">
        <v>3</v>
      </c>
      <c r="I351">
        <v>52</v>
      </c>
    </row>
    <row r="352" spans="1:9" x14ac:dyDescent="0.45">
      <c r="A352" t="s">
        <v>383</v>
      </c>
      <c r="B352" t="s">
        <v>15</v>
      </c>
      <c r="C352" t="s">
        <v>26</v>
      </c>
      <c r="D352" t="s">
        <v>20</v>
      </c>
      <c r="E352" t="s">
        <v>13</v>
      </c>
      <c r="F352">
        <v>5</v>
      </c>
      <c r="G352">
        <v>2469</v>
      </c>
      <c r="H352">
        <v>7</v>
      </c>
      <c r="I352">
        <v>51</v>
      </c>
    </row>
    <row r="353" spans="1:9" x14ac:dyDescent="0.45">
      <c r="A353" t="s">
        <v>384</v>
      </c>
      <c r="B353" t="s">
        <v>22</v>
      </c>
      <c r="C353" t="s">
        <v>40</v>
      </c>
      <c r="D353" t="s">
        <v>47</v>
      </c>
      <c r="E353" t="s">
        <v>13</v>
      </c>
      <c r="F353">
        <v>39</v>
      </c>
      <c r="G353">
        <v>1830</v>
      </c>
      <c r="H353">
        <v>5</v>
      </c>
      <c r="I353">
        <v>65</v>
      </c>
    </row>
    <row r="354" spans="1:9" x14ac:dyDescent="0.45">
      <c r="A354" t="s">
        <v>385</v>
      </c>
      <c r="B354" t="s">
        <v>19</v>
      </c>
      <c r="C354" t="s">
        <v>23</v>
      </c>
      <c r="D354" t="s">
        <v>20</v>
      </c>
      <c r="E354" t="s">
        <v>17</v>
      </c>
      <c r="F354">
        <v>18</v>
      </c>
      <c r="G354">
        <v>1818</v>
      </c>
      <c r="H354">
        <v>3</v>
      </c>
      <c r="I354">
        <v>96</v>
      </c>
    </row>
    <row r="355" spans="1:9" x14ac:dyDescent="0.45">
      <c r="A355" t="s">
        <v>386</v>
      </c>
      <c r="B355" t="s">
        <v>15</v>
      </c>
      <c r="C355" t="s">
        <v>26</v>
      </c>
      <c r="D355" t="s">
        <v>12</v>
      </c>
      <c r="E355" t="s">
        <v>17</v>
      </c>
      <c r="F355">
        <v>30</v>
      </c>
      <c r="G355">
        <v>1622</v>
      </c>
      <c r="H355">
        <v>7</v>
      </c>
      <c r="I355">
        <v>88</v>
      </c>
    </row>
    <row r="356" spans="1:9" x14ac:dyDescent="0.45">
      <c r="A356" t="s">
        <v>387</v>
      </c>
      <c r="B356" t="s">
        <v>49</v>
      </c>
      <c r="C356" t="s">
        <v>23</v>
      </c>
      <c r="D356" t="s">
        <v>29</v>
      </c>
      <c r="E356" t="s">
        <v>17</v>
      </c>
      <c r="F356">
        <v>35</v>
      </c>
      <c r="G356">
        <v>1804</v>
      </c>
      <c r="H356">
        <v>2</v>
      </c>
      <c r="I356">
        <v>81</v>
      </c>
    </row>
    <row r="357" spans="1:9" x14ac:dyDescent="0.45">
      <c r="A357" t="s">
        <v>388</v>
      </c>
      <c r="B357" t="s">
        <v>22</v>
      </c>
      <c r="C357" t="s">
        <v>26</v>
      </c>
      <c r="D357" t="s">
        <v>20</v>
      </c>
      <c r="E357" t="s">
        <v>13</v>
      </c>
      <c r="F357">
        <v>56</v>
      </c>
      <c r="G357">
        <v>2521</v>
      </c>
      <c r="H357">
        <v>8</v>
      </c>
      <c r="I357">
        <v>55</v>
      </c>
    </row>
    <row r="358" spans="1:9" x14ac:dyDescent="0.45">
      <c r="A358" t="s">
        <v>389</v>
      </c>
      <c r="B358" t="s">
        <v>49</v>
      </c>
      <c r="C358" t="s">
        <v>26</v>
      </c>
      <c r="D358" t="s">
        <v>60</v>
      </c>
      <c r="E358" t="s">
        <v>13</v>
      </c>
      <c r="F358">
        <v>11</v>
      </c>
      <c r="G358">
        <v>3195</v>
      </c>
      <c r="H358">
        <v>4</v>
      </c>
      <c r="I358">
        <v>74</v>
      </c>
    </row>
    <row r="359" spans="1:9" x14ac:dyDescent="0.45">
      <c r="A359" t="s">
        <v>390</v>
      </c>
      <c r="B359" t="s">
        <v>10</v>
      </c>
      <c r="C359" t="s">
        <v>40</v>
      </c>
      <c r="D359" t="s">
        <v>47</v>
      </c>
      <c r="E359" t="s">
        <v>17</v>
      </c>
      <c r="F359">
        <v>14</v>
      </c>
      <c r="G359">
        <v>1249</v>
      </c>
      <c r="H359">
        <v>1</v>
      </c>
      <c r="I359">
        <v>69</v>
      </c>
    </row>
    <row r="360" spans="1:9" x14ac:dyDescent="0.45">
      <c r="A360" t="s">
        <v>391</v>
      </c>
      <c r="B360" t="s">
        <v>25</v>
      </c>
      <c r="C360" t="s">
        <v>26</v>
      </c>
      <c r="D360" t="s">
        <v>27</v>
      </c>
      <c r="E360" t="s">
        <v>17</v>
      </c>
      <c r="F360">
        <v>12</v>
      </c>
      <c r="G360">
        <v>2535</v>
      </c>
      <c r="H360">
        <v>8</v>
      </c>
      <c r="I360">
        <v>78</v>
      </c>
    </row>
    <row r="361" spans="1:9" x14ac:dyDescent="0.45">
      <c r="A361" t="s">
        <v>392</v>
      </c>
      <c r="B361" t="s">
        <v>19</v>
      </c>
      <c r="C361" t="s">
        <v>23</v>
      </c>
      <c r="D361" t="s">
        <v>31</v>
      </c>
      <c r="E361" t="s">
        <v>17</v>
      </c>
      <c r="F361">
        <v>46</v>
      </c>
      <c r="G361">
        <v>1335</v>
      </c>
      <c r="H361">
        <v>1</v>
      </c>
      <c r="I361">
        <v>88</v>
      </c>
    </row>
    <row r="362" spans="1:9" x14ac:dyDescent="0.45">
      <c r="A362" t="s">
        <v>393</v>
      </c>
      <c r="B362" t="s">
        <v>19</v>
      </c>
      <c r="C362" t="s">
        <v>26</v>
      </c>
      <c r="D362" t="s">
        <v>47</v>
      </c>
      <c r="E362" t="s">
        <v>17</v>
      </c>
      <c r="F362">
        <v>53</v>
      </c>
      <c r="G362">
        <v>4176</v>
      </c>
      <c r="H362">
        <v>3</v>
      </c>
      <c r="I362">
        <v>96</v>
      </c>
    </row>
    <row r="363" spans="1:9" x14ac:dyDescent="0.45">
      <c r="A363" t="s">
        <v>394</v>
      </c>
      <c r="B363" t="s">
        <v>19</v>
      </c>
      <c r="C363" t="s">
        <v>40</v>
      </c>
      <c r="D363" t="s">
        <v>16</v>
      </c>
      <c r="E363" t="s">
        <v>13</v>
      </c>
      <c r="F363">
        <v>88</v>
      </c>
      <c r="G363">
        <v>3618</v>
      </c>
      <c r="H363">
        <v>2</v>
      </c>
      <c r="I363">
        <v>58</v>
      </c>
    </row>
    <row r="364" spans="1:9" x14ac:dyDescent="0.45">
      <c r="A364" t="s">
        <v>395</v>
      </c>
      <c r="B364" t="s">
        <v>44</v>
      </c>
      <c r="C364" t="s">
        <v>26</v>
      </c>
      <c r="D364" t="s">
        <v>27</v>
      </c>
      <c r="E364" t="s">
        <v>13</v>
      </c>
      <c r="F364">
        <v>9</v>
      </c>
      <c r="G364">
        <v>2369</v>
      </c>
      <c r="H364">
        <v>8</v>
      </c>
      <c r="I364">
        <v>67</v>
      </c>
    </row>
    <row r="365" spans="1:9" x14ac:dyDescent="0.45">
      <c r="A365" t="s">
        <v>396</v>
      </c>
      <c r="B365" t="s">
        <v>25</v>
      </c>
      <c r="C365" t="s">
        <v>26</v>
      </c>
      <c r="D365" t="s">
        <v>34</v>
      </c>
      <c r="E365" t="s">
        <v>13</v>
      </c>
      <c r="F365">
        <v>47</v>
      </c>
      <c r="G365">
        <v>3061</v>
      </c>
      <c r="H365">
        <v>5</v>
      </c>
      <c r="I365">
        <v>96</v>
      </c>
    </row>
    <row r="366" spans="1:9" x14ac:dyDescent="0.45">
      <c r="A366" t="s">
        <v>397</v>
      </c>
      <c r="B366" t="s">
        <v>10</v>
      </c>
      <c r="C366" t="s">
        <v>23</v>
      </c>
      <c r="D366" t="s">
        <v>16</v>
      </c>
      <c r="E366" t="s">
        <v>13</v>
      </c>
      <c r="F366">
        <v>59</v>
      </c>
      <c r="G366">
        <v>419</v>
      </c>
      <c r="H366">
        <v>1</v>
      </c>
      <c r="I366">
        <v>69</v>
      </c>
    </row>
    <row r="367" spans="1:9" x14ac:dyDescent="0.45">
      <c r="A367" t="s">
        <v>398</v>
      </c>
      <c r="B367" t="s">
        <v>15</v>
      </c>
      <c r="C367" t="s">
        <v>23</v>
      </c>
      <c r="D367" t="s">
        <v>29</v>
      </c>
      <c r="E367" t="s">
        <v>13</v>
      </c>
      <c r="F367">
        <v>49</v>
      </c>
      <c r="G367">
        <v>1846</v>
      </c>
      <c r="H367">
        <v>2</v>
      </c>
      <c r="I367">
        <v>78</v>
      </c>
    </row>
    <row r="368" spans="1:9" x14ac:dyDescent="0.45">
      <c r="A368" t="s">
        <v>399</v>
      </c>
      <c r="B368" t="s">
        <v>44</v>
      </c>
      <c r="C368" t="s">
        <v>23</v>
      </c>
      <c r="D368" t="s">
        <v>16</v>
      </c>
      <c r="E368" t="s">
        <v>17</v>
      </c>
      <c r="F368">
        <v>42</v>
      </c>
      <c r="G368">
        <v>1435</v>
      </c>
      <c r="H368">
        <v>3</v>
      </c>
      <c r="I368">
        <v>62</v>
      </c>
    </row>
    <row r="369" spans="1:9" x14ac:dyDescent="0.45">
      <c r="A369" t="s">
        <v>400</v>
      </c>
      <c r="B369" t="s">
        <v>25</v>
      </c>
      <c r="C369" t="s">
        <v>26</v>
      </c>
      <c r="D369" t="s">
        <v>42</v>
      </c>
      <c r="E369" t="s">
        <v>13</v>
      </c>
      <c r="F369">
        <v>41</v>
      </c>
      <c r="G369">
        <v>3387</v>
      </c>
      <c r="H369">
        <v>9</v>
      </c>
      <c r="I369">
        <v>86</v>
      </c>
    </row>
    <row r="370" spans="1:9" x14ac:dyDescent="0.45">
      <c r="A370" t="s">
        <v>401</v>
      </c>
      <c r="B370" t="s">
        <v>49</v>
      </c>
      <c r="C370" t="s">
        <v>40</v>
      </c>
      <c r="D370" t="s">
        <v>29</v>
      </c>
      <c r="E370" t="s">
        <v>17</v>
      </c>
      <c r="F370">
        <v>51</v>
      </c>
      <c r="G370">
        <v>3490</v>
      </c>
      <c r="H370">
        <v>1</v>
      </c>
      <c r="I370">
        <v>86</v>
      </c>
    </row>
    <row r="371" spans="1:9" x14ac:dyDescent="0.45">
      <c r="A371" t="s">
        <v>402</v>
      </c>
      <c r="B371" t="s">
        <v>22</v>
      </c>
      <c r="C371" t="s">
        <v>40</v>
      </c>
      <c r="D371" t="s">
        <v>20</v>
      </c>
      <c r="E371" t="s">
        <v>17</v>
      </c>
      <c r="F371">
        <v>60</v>
      </c>
      <c r="G371">
        <v>2217</v>
      </c>
      <c r="H371">
        <v>4</v>
      </c>
      <c r="I371">
        <v>68</v>
      </c>
    </row>
    <row r="372" spans="1:9" x14ac:dyDescent="0.45">
      <c r="A372" t="s">
        <v>403</v>
      </c>
      <c r="B372" t="s">
        <v>49</v>
      </c>
      <c r="C372" t="s">
        <v>11</v>
      </c>
      <c r="D372" t="s">
        <v>47</v>
      </c>
      <c r="E372" t="s">
        <v>13</v>
      </c>
      <c r="F372">
        <v>18</v>
      </c>
      <c r="G372">
        <v>15376</v>
      </c>
      <c r="H372">
        <v>9</v>
      </c>
      <c r="I372">
        <v>65</v>
      </c>
    </row>
    <row r="373" spans="1:9" x14ac:dyDescent="0.45">
      <c r="A373" t="s">
        <v>404</v>
      </c>
      <c r="B373" t="s">
        <v>44</v>
      </c>
      <c r="C373" t="s">
        <v>40</v>
      </c>
      <c r="D373" t="s">
        <v>47</v>
      </c>
      <c r="E373" t="s">
        <v>13</v>
      </c>
      <c r="F373">
        <v>10</v>
      </c>
      <c r="G373">
        <v>4178</v>
      </c>
      <c r="H373">
        <v>5</v>
      </c>
      <c r="I373">
        <v>80</v>
      </c>
    </row>
    <row r="374" spans="1:9" x14ac:dyDescent="0.45">
      <c r="A374" t="s">
        <v>405</v>
      </c>
      <c r="B374" t="s">
        <v>19</v>
      </c>
      <c r="C374" t="s">
        <v>23</v>
      </c>
      <c r="D374" t="s">
        <v>20</v>
      </c>
      <c r="E374" t="s">
        <v>13</v>
      </c>
      <c r="F374">
        <v>89</v>
      </c>
      <c r="G374">
        <v>1056</v>
      </c>
      <c r="H374">
        <v>3</v>
      </c>
      <c r="I374">
        <v>52</v>
      </c>
    </row>
    <row r="375" spans="1:9" x14ac:dyDescent="0.45">
      <c r="A375" t="s">
        <v>406</v>
      </c>
      <c r="B375" t="s">
        <v>49</v>
      </c>
      <c r="C375" t="s">
        <v>26</v>
      </c>
      <c r="D375" t="s">
        <v>20</v>
      </c>
      <c r="E375" t="s">
        <v>13</v>
      </c>
      <c r="F375">
        <v>11</v>
      </c>
      <c r="G375">
        <v>1895</v>
      </c>
      <c r="H375">
        <v>5</v>
      </c>
      <c r="I375">
        <v>92</v>
      </c>
    </row>
    <row r="376" spans="1:9" x14ac:dyDescent="0.45">
      <c r="A376" t="s">
        <v>407</v>
      </c>
      <c r="B376" t="s">
        <v>10</v>
      </c>
      <c r="C376" t="s">
        <v>26</v>
      </c>
      <c r="D376" t="s">
        <v>42</v>
      </c>
      <c r="E376" t="s">
        <v>13</v>
      </c>
      <c r="F376">
        <v>6</v>
      </c>
      <c r="G376">
        <v>5613</v>
      </c>
      <c r="H376">
        <v>8</v>
      </c>
      <c r="I376">
        <v>98</v>
      </c>
    </row>
    <row r="377" spans="1:9" x14ac:dyDescent="0.45">
      <c r="A377" t="s">
        <v>408</v>
      </c>
      <c r="B377" t="s">
        <v>44</v>
      </c>
      <c r="C377" t="s">
        <v>23</v>
      </c>
      <c r="D377" t="s">
        <v>31</v>
      </c>
      <c r="E377" t="s">
        <v>17</v>
      </c>
      <c r="F377">
        <v>34</v>
      </c>
      <c r="G377">
        <v>654</v>
      </c>
      <c r="H377">
        <v>3</v>
      </c>
      <c r="I377">
        <v>97</v>
      </c>
    </row>
    <row r="378" spans="1:9" x14ac:dyDescent="0.45">
      <c r="A378" t="s">
        <v>409</v>
      </c>
      <c r="B378" t="s">
        <v>19</v>
      </c>
      <c r="C378" t="s">
        <v>40</v>
      </c>
      <c r="D378" t="s">
        <v>34</v>
      </c>
      <c r="E378" t="s">
        <v>17</v>
      </c>
      <c r="F378">
        <v>60</v>
      </c>
      <c r="G378">
        <v>4599</v>
      </c>
      <c r="H378">
        <v>2</v>
      </c>
      <c r="I378">
        <v>72</v>
      </c>
    </row>
    <row r="379" spans="1:9" x14ac:dyDescent="0.45">
      <c r="A379" t="s">
        <v>410</v>
      </c>
      <c r="B379" t="s">
        <v>15</v>
      </c>
      <c r="C379" t="s">
        <v>23</v>
      </c>
      <c r="D379" t="s">
        <v>31</v>
      </c>
      <c r="E379" t="s">
        <v>17</v>
      </c>
      <c r="F379">
        <v>11</v>
      </c>
      <c r="G379">
        <v>437</v>
      </c>
      <c r="H379">
        <v>3</v>
      </c>
      <c r="I379">
        <v>59</v>
      </c>
    </row>
    <row r="380" spans="1:9" x14ac:dyDescent="0.45">
      <c r="A380" t="s">
        <v>411</v>
      </c>
      <c r="B380" t="s">
        <v>44</v>
      </c>
      <c r="C380" t="s">
        <v>26</v>
      </c>
      <c r="D380" t="s">
        <v>29</v>
      </c>
      <c r="E380" t="s">
        <v>17</v>
      </c>
      <c r="F380">
        <v>27</v>
      </c>
      <c r="G380">
        <v>5268</v>
      </c>
      <c r="H380">
        <v>9</v>
      </c>
      <c r="I380">
        <v>72</v>
      </c>
    </row>
    <row r="381" spans="1:9" x14ac:dyDescent="0.45">
      <c r="A381" t="s">
        <v>412</v>
      </c>
      <c r="B381" t="s">
        <v>25</v>
      </c>
      <c r="C381" t="s">
        <v>11</v>
      </c>
      <c r="D381" t="s">
        <v>34</v>
      </c>
      <c r="E381" t="s">
        <v>13</v>
      </c>
      <c r="F381">
        <v>58</v>
      </c>
      <c r="G381">
        <v>10225</v>
      </c>
      <c r="H381">
        <v>6</v>
      </c>
      <c r="I381">
        <v>69</v>
      </c>
    </row>
    <row r="382" spans="1:9" x14ac:dyDescent="0.45">
      <c r="A382" t="s">
        <v>413</v>
      </c>
      <c r="B382" t="s">
        <v>15</v>
      </c>
      <c r="C382" t="s">
        <v>11</v>
      </c>
      <c r="D382" t="s">
        <v>12</v>
      </c>
      <c r="E382" t="s">
        <v>13</v>
      </c>
      <c r="F382">
        <v>83</v>
      </c>
      <c r="G382">
        <v>6791</v>
      </c>
      <c r="H382">
        <v>15</v>
      </c>
      <c r="I382">
        <v>60</v>
      </c>
    </row>
    <row r="383" spans="1:9" x14ac:dyDescent="0.45">
      <c r="A383" t="s">
        <v>414</v>
      </c>
      <c r="B383" t="s">
        <v>10</v>
      </c>
      <c r="C383" t="s">
        <v>40</v>
      </c>
      <c r="D383" t="s">
        <v>20</v>
      </c>
      <c r="E383" t="s">
        <v>17</v>
      </c>
      <c r="F383">
        <v>21</v>
      </c>
      <c r="G383">
        <v>3211</v>
      </c>
      <c r="H383">
        <v>5</v>
      </c>
      <c r="I383">
        <v>77</v>
      </c>
    </row>
    <row r="384" spans="1:9" x14ac:dyDescent="0.45">
      <c r="A384" t="s">
        <v>415</v>
      </c>
      <c r="B384" t="s">
        <v>25</v>
      </c>
      <c r="C384" t="s">
        <v>40</v>
      </c>
      <c r="D384" t="s">
        <v>47</v>
      </c>
      <c r="E384" t="s">
        <v>13</v>
      </c>
      <c r="F384">
        <v>24</v>
      </c>
      <c r="G384">
        <v>4040</v>
      </c>
      <c r="H384">
        <v>4</v>
      </c>
      <c r="I384">
        <v>51</v>
      </c>
    </row>
    <row r="385" spans="1:9" x14ac:dyDescent="0.45">
      <c r="A385" t="s">
        <v>416</v>
      </c>
      <c r="B385" t="s">
        <v>10</v>
      </c>
      <c r="C385" t="s">
        <v>40</v>
      </c>
      <c r="D385" t="s">
        <v>34</v>
      </c>
      <c r="E385" t="s">
        <v>13</v>
      </c>
      <c r="F385">
        <v>50</v>
      </c>
      <c r="G385">
        <v>536</v>
      </c>
      <c r="H385">
        <v>2</v>
      </c>
      <c r="I385">
        <v>63</v>
      </c>
    </row>
    <row r="386" spans="1:9" x14ac:dyDescent="0.45">
      <c r="A386" t="s">
        <v>417</v>
      </c>
      <c r="B386" t="s">
        <v>44</v>
      </c>
      <c r="C386" t="s">
        <v>11</v>
      </c>
      <c r="D386" t="s">
        <v>16</v>
      </c>
      <c r="E386" t="s">
        <v>17</v>
      </c>
      <c r="F386">
        <v>69</v>
      </c>
      <c r="G386">
        <v>8063</v>
      </c>
      <c r="H386">
        <v>10</v>
      </c>
      <c r="I386">
        <v>70</v>
      </c>
    </row>
    <row r="387" spans="1:9" x14ac:dyDescent="0.45">
      <c r="A387" t="s">
        <v>418</v>
      </c>
      <c r="B387" t="s">
        <v>22</v>
      </c>
      <c r="C387" t="s">
        <v>23</v>
      </c>
      <c r="D387" t="s">
        <v>31</v>
      </c>
      <c r="E387" t="s">
        <v>17</v>
      </c>
      <c r="F387">
        <v>63</v>
      </c>
      <c r="G387">
        <v>1280</v>
      </c>
      <c r="H387">
        <v>3</v>
      </c>
      <c r="I387">
        <v>70</v>
      </c>
    </row>
    <row r="388" spans="1:9" x14ac:dyDescent="0.45">
      <c r="A388" t="s">
        <v>419</v>
      </c>
      <c r="B388" t="s">
        <v>19</v>
      </c>
      <c r="C388" t="s">
        <v>23</v>
      </c>
      <c r="D388" t="s">
        <v>16</v>
      </c>
      <c r="E388" t="s">
        <v>17</v>
      </c>
      <c r="F388">
        <v>15</v>
      </c>
      <c r="G388">
        <v>912</v>
      </c>
      <c r="H388">
        <v>2</v>
      </c>
      <c r="I388">
        <v>79</v>
      </c>
    </row>
    <row r="389" spans="1:9" x14ac:dyDescent="0.45">
      <c r="A389" t="s">
        <v>420</v>
      </c>
      <c r="B389" t="s">
        <v>19</v>
      </c>
      <c r="C389" t="s">
        <v>40</v>
      </c>
      <c r="D389" t="s">
        <v>27</v>
      </c>
      <c r="E389" t="s">
        <v>13</v>
      </c>
      <c r="F389">
        <v>76</v>
      </c>
      <c r="G389">
        <v>1194</v>
      </c>
      <c r="H389">
        <v>2</v>
      </c>
      <c r="I389">
        <v>70</v>
      </c>
    </row>
    <row r="390" spans="1:9" x14ac:dyDescent="0.45">
      <c r="A390" t="s">
        <v>421</v>
      </c>
      <c r="B390" t="s">
        <v>15</v>
      </c>
      <c r="C390" t="s">
        <v>40</v>
      </c>
      <c r="D390" t="s">
        <v>27</v>
      </c>
      <c r="E390" t="s">
        <v>17</v>
      </c>
      <c r="F390">
        <v>48</v>
      </c>
      <c r="G390">
        <v>1658</v>
      </c>
      <c r="H390">
        <v>5</v>
      </c>
      <c r="I390">
        <v>74</v>
      </c>
    </row>
    <row r="391" spans="1:9" x14ac:dyDescent="0.45">
      <c r="A391" t="s">
        <v>422</v>
      </c>
      <c r="B391" t="s">
        <v>25</v>
      </c>
      <c r="C391" t="s">
        <v>40</v>
      </c>
      <c r="D391" t="s">
        <v>16</v>
      </c>
      <c r="E391" t="s">
        <v>17</v>
      </c>
      <c r="F391">
        <v>24</v>
      </c>
      <c r="G391">
        <v>4486</v>
      </c>
      <c r="H391">
        <v>5</v>
      </c>
      <c r="I391">
        <v>94</v>
      </c>
    </row>
    <row r="392" spans="1:9" x14ac:dyDescent="0.45">
      <c r="A392" t="s">
        <v>423</v>
      </c>
      <c r="B392" t="s">
        <v>10</v>
      </c>
      <c r="C392" t="s">
        <v>40</v>
      </c>
      <c r="D392" t="s">
        <v>20</v>
      </c>
      <c r="E392" t="s">
        <v>17</v>
      </c>
      <c r="F392">
        <v>37</v>
      </c>
      <c r="G392">
        <v>1649</v>
      </c>
      <c r="H392">
        <v>2</v>
      </c>
      <c r="I392">
        <v>70</v>
      </c>
    </row>
    <row r="393" spans="1:9" x14ac:dyDescent="0.45">
      <c r="A393" t="s">
        <v>424</v>
      </c>
      <c r="B393" t="s">
        <v>49</v>
      </c>
      <c r="C393" t="s">
        <v>23</v>
      </c>
      <c r="D393" t="s">
        <v>16</v>
      </c>
      <c r="E393" t="s">
        <v>17</v>
      </c>
      <c r="F393">
        <v>46</v>
      </c>
      <c r="G393">
        <v>219</v>
      </c>
      <c r="H393">
        <v>2</v>
      </c>
      <c r="I393">
        <v>58</v>
      </c>
    </row>
    <row r="394" spans="1:9" x14ac:dyDescent="0.45">
      <c r="A394" t="s">
        <v>425</v>
      </c>
      <c r="B394" t="s">
        <v>22</v>
      </c>
      <c r="C394" t="s">
        <v>23</v>
      </c>
      <c r="D394" t="s">
        <v>20</v>
      </c>
      <c r="E394" t="s">
        <v>13</v>
      </c>
      <c r="F394">
        <v>64</v>
      </c>
      <c r="G394">
        <v>1037</v>
      </c>
      <c r="H394">
        <v>3</v>
      </c>
      <c r="I394">
        <v>81</v>
      </c>
    </row>
    <row r="395" spans="1:9" x14ac:dyDescent="0.45">
      <c r="A395" t="s">
        <v>426</v>
      </c>
      <c r="B395" t="s">
        <v>25</v>
      </c>
      <c r="C395" t="s">
        <v>23</v>
      </c>
      <c r="D395" t="s">
        <v>34</v>
      </c>
      <c r="E395" t="s">
        <v>17</v>
      </c>
      <c r="F395">
        <v>73</v>
      </c>
      <c r="G395">
        <v>263</v>
      </c>
      <c r="H395">
        <v>1</v>
      </c>
      <c r="I395">
        <v>68</v>
      </c>
    </row>
    <row r="396" spans="1:9" x14ac:dyDescent="0.45">
      <c r="A396" t="s">
        <v>427</v>
      </c>
      <c r="B396" t="s">
        <v>15</v>
      </c>
      <c r="C396" t="s">
        <v>26</v>
      </c>
      <c r="D396" t="s">
        <v>60</v>
      </c>
      <c r="E396" t="s">
        <v>13</v>
      </c>
      <c r="F396">
        <v>22</v>
      </c>
      <c r="G396">
        <v>4746</v>
      </c>
      <c r="H396">
        <v>9</v>
      </c>
      <c r="I396">
        <v>85</v>
      </c>
    </row>
    <row r="397" spans="1:9" x14ac:dyDescent="0.45">
      <c r="A397" t="s">
        <v>428</v>
      </c>
      <c r="B397" t="s">
        <v>19</v>
      </c>
      <c r="C397" t="s">
        <v>11</v>
      </c>
      <c r="D397" t="s">
        <v>16</v>
      </c>
      <c r="E397" t="s">
        <v>17</v>
      </c>
      <c r="F397">
        <v>70</v>
      </c>
      <c r="G397">
        <v>18488</v>
      </c>
      <c r="H397">
        <v>10</v>
      </c>
      <c r="I397">
        <v>84</v>
      </c>
    </row>
    <row r="398" spans="1:9" x14ac:dyDescent="0.45">
      <c r="A398" t="s">
        <v>429</v>
      </c>
      <c r="B398" t="s">
        <v>49</v>
      </c>
      <c r="C398" t="s">
        <v>11</v>
      </c>
      <c r="D398" t="s">
        <v>34</v>
      </c>
      <c r="E398" t="s">
        <v>13</v>
      </c>
      <c r="F398">
        <v>55</v>
      </c>
      <c r="G398">
        <v>6677</v>
      </c>
      <c r="H398">
        <v>15</v>
      </c>
      <c r="I398">
        <v>98</v>
      </c>
    </row>
    <row r="399" spans="1:9" x14ac:dyDescent="0.45">
      <c r="A399" t="s">
        <v>430</v>
      </c>
      <c r="B399" t="s">
        <v>22</v>
      </c>
      <c r="C399" t="s">
        <v>26</v>
      </c>
      <c r="D399" t="s">
        <v>12</v>
      </c>
      <c r="E399" t="s">
        <v>17</v>
      </c>
      <c r="F399">
        <v>45</v>
      </c>
      <c r="G399">
        <v>1712</v>
      </c>
      <c r="H399">
        <v>9</v>
      </c>
      <c r="I399">
        <v>57</v>
      </c>
    </row>
    <row r="400" spans="1:9" x14ac:dyDescent="0.45">
      <c r="A400" t="s">
        <v>431</v>
      </c>
      <c r="B400" t="s">
        <v>49</v>
      </c>
      <c r="C400" t="s">
        <v>40</v>
      </c>
      <c r="D400" t="s">
        <v>60</v>
      </c>
      <c r="E400" t="s">
        <v>13</v>
      </c>
      <c r="F400">
        <v>76</v>
      </c>
      <c r="G400">
        <v>3372</v>
      </c>
      <c r="H400">
        <v>5</v>
      </c>
      <c r="I400">
        <v>90</v>
      </c>
    </row>
    <row r="401" spans="1:9" x14ac:dyDescent="0.45">
      <c r="A401" t="s">
        <v>432</v>
      </c>
      <c r="B401" t="s">
        <v>25</v>
      </c>
      <c r="C401" t="s">
        <v>40</v>
      </c>
      <c r="D401" t="s">
        <v>16</v>
      </c>
      <c r="E401" t="s">
        <v>17</v>
      </c>
      <c r="F401">
        <v>27</v>
      </c>
      <c r="G401">
        <v>2195</v>
      </c>
      <c r="H401">
        <v>1</v>
      </c>
      <c r="I401">
        <v>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D08C7-48E6-4FB2-A4EF-8AE1E942A815}">
  <dimension ref="A1:M401"/>
  <sheetViews>
    <sheetView topLeftCell="A15" zoomScale="103" zoomScaleNormal="103" workbookViewId="0">
      <selection activeCell="E25" sqref="E25"/>
    </sheetView>
  </sheetViews>
  <sheetFormatPr defaultRowHeight="14.25" x14ac:dyDescent="0.45"/>
  <cols>
    <col min="1" max="1" width="10.86328125" bestFit="1" customWidth="1"/>
    <col min="2" max="2" width="14.6640625" bestFit="1" customWidth="1"/>
    <col min="3" max="3" width="15.86328125" bestFit="1" customWidth="1"/>
    <col min="4" max="4" width="13.73046875" bestFit="1" customWidth="1"/>
    <col min="5" max="5" width="8.86328125" bestFit="1" customWidth="1"/>
    <col min="6" max="6" width="6.06640625" bestFit="1" customWidth="1"/>
    <col min="7" max="7" width="11.53125" bestFit="1" customWidth="1"/>
    <col min="8" max="8" width="15.46484375" bestFit="1" customWidth="1"/>
    <col min="9" max="9" width="14.796875" bestFit="1" customWidth="1"/>
    <col min="10" max="10" width="19.19921875" bestFit="1" customWidth="1"/>
    <col min="11" max="11" width="15.265625" bestFit="1" customWidth="1"/>
    <col min="12" max="12" width="22.73046875" bestFit="1" customWidth="1"/>
    <col min="13" max="13" width="23.796875" bestFit="1" customWidth="1"/>
  </cols>
  <sheetData>
    <row r="1" spans="1:13" x14ac:dyDescent="0.45">
      <c r="A1" t="s">
        <v>0</v>
      </c>
      <c r="B1" t="s">
        <v>1</v>
      </c>
      <c r="C1" t="s">
        <v>2</v>
      </c>
      <c r="D1" t="s">
        <v>3</v>
      </c>
      <c r="E1" t="s">
        <v>4</v>
      </c>
      <c r="F1" t="s">
        <v>5</v>
      </c>
      <c r="G1" t="s">
        <v>453</v>
      </c>
      <c r="H1" s="1" t="s">
        <v>6</v>
      </c>
      <c r="I1" s="1" t="s">
        <v>465</v>
      </c>
      <c r="J1" t="s">
        <v>7</v>
      </c>
      <c r="K1" t="s">
        <v>466</v>
      </c>
      <c r="L1" t="s">
        <v>8</v>
      </c>
      <c r="M1" t="s">
        <v>452</v>
      </c>
    </row>
    <row r="2" spans="1:13" x14ac:dyDescent="0.45">
      <c r="A2" t="s">
        <v>9</v>
      </c>
      <c r="B2" t="s">
        <v>10</v>
      </c>
      <c r="C2" t="s">
        <v>11</v>
      </c>
      <c r="D2" t="s">
        <v>12</v>
      </c>
      <c r="E2" t="s">
        <v>13</v>
      </c>
      <c r="F2">
        <v>32</v>
      </c>
      <c r="G2" t="s">
        <v>446</v>
      </c>
      <c r="H2" s="1">
        <v>8657</v>
      </c>
      <c r="I2" s="1" t="s">
        <v>448</v>
      </c>
      <c r="J2">
        <v>7</v>
      </c>
      <c r="K2" t="s">
        <v>440</v>
      </c>
      <c r="L2">
        <v>97</v>
      </c>
      <c r="M2" t="s">
        <v>445</v>
      </c>
    </row>
    <row r="3" spans="1:13" x14ac:dyDescent="0.45">
      <c r="A3" t="s">
        <v>14</v>
      </c>
      <c r="B3" t="s">
        <v>15</v>
      </c>
      <c r="C3" t="s">
        <v>11</v>
      </c>
      <c r="D3" t="s">
        <v>16</v>
      </c>
      <c r="E3" t="s">
        <v>17</v>
      </c>
      <c r="F3">
        <v>4</v>
      </c>
      <c r="G3" t="s">
        <v>450</v>
      </c>
      <c r="H3" s="1">
        <v>6535</v>
      </c>
      <c r="I3" s="1" t="s">
        <v>437</v>
      </c>
      <c r="J3">
        <v>8</v>
      </c>
      <c r="K3" t="s">
        <v>440</v>
      </c>
      <c r="L3">
        <v>64</v>
      </c>
      <c r="M3" t="s">
        <v>439</v>
      </c>
    </row>
    <row r="4" spans="1:13" x14ac:dyDescent="0.45">
      <c r="A4" t="s">
        <v>18</v>
      </c>
      <c r="B4" t="s">
        <v>19</v>
      </c>
      <c r="C4" t="s">
        <v>11</v>
      </c>
      <c r="D4" t="s">
        <v>20</v>
      </c>
      <c r="E4" t="s">
        <v>17</v>
      </c>
      <c r="F4">
        <v>84</v>
      </c>
      <c r="G4" t="s">
        <v>438</v>
      </c>
      <c r="H4" s="1">
        <v>16490</v>
      </c>
      <c r="I4" s="1" t="s">
        <v>444</v>
      </c>
      <c r="J4">
        <v>13</v>
      </c>
      <c r="K4" t="s">
        <v>463</v>
      </c>
      <c r="L4">
        <v>76</v>
      </c>
      <c r="M4" t="s">
        <v>442</v>
      </c>
    </row>
    <row r="5" spans="1:13" x14ac:dyDescent="0.45">
      <c r="A5" t="s">
        <v>21</v>
      </c>
      <c r="B5" t="s">
        <v>22</v>
      </c>
      <c r="C5" t="s">
        <v>23</v>
      </c>
      <c r="D5" t="s">
        <v>16</v>
      </c>
      <c r="E5" t="s">
        <v>17</v>
      </c>
      <c r="F5">
        <v>1</v>
      </c>
      <c r="G5" t="s">
        <v>450</v>
      </c>
      <c r="H5" s="1">
        <v>1754</v>
      </c>
      <c r="I5" s="1" t="s">
        <v>434</v>
      </c>
      <c r="J5">
        <v>1</v>
      </c>
      <c r="K5" t="s">
        <v>464</v>
      </c>
      <c r="L5">
        <v>94</v>
      </c>
      <c r="M5" t="s">
        <v>433</v>
      </c>
    </row>
    <row r="6" spans="1:13" x14ac:dyDescent="0.45">
      <c r="A6" t="s">
        <v>24</v>
      </c>
      <c r="B6" t="s">
        <v>25</v>
      </c>
      <c r="C6" t="s">
        <v>26</v>
      </c>
      <c r="D6" t="s">
        <v>27</v>
      </c>
      <c r="E6" t="s">
        <v>17</v>
      </c>
      <c r="F6">
        <v>44</v>
      </c>
      <c r="G6" t="s">
        <v>446</v>
      </c>
      <c r="H6" s="1">
        <v>1837</v>
      </c>
      <c r="I6" s="1" t="s">
        <v>434</v>
      </c>
      <c r="J6">
        <v>3</v>
      </c>
      <c r="K6" t="s">
        <v>464</v>
      </c>
      <c r="L6">
        <v>74</v>
      </c>
      <c r="M6" t="s">
        <v>445</v>
      </c>
    </row>
    <row r="7" spans="1:13" x14ac:dyDescent="0.45">
      <c r="A7" t="s">
        <v>28</v>
      </c>
      <c r="B7" t="s">
        <v>15</v>
      </c>
      <c r="C7" t="s">
        <v>26</v>
      </c>
      <c r="D7" t="s">
        <v>29</v>
      </c>
      <c r="E7" t="s">
        <v>13</v>
      </c>
      <c r="F7">
        <v>6</v>
      </c>
      <c r="G7" t="s">
        <v>449</v>
      </c>
      <c r="H7" s="1">
        <v>6977</v>
      </c>
      <c r="I7" s="1" t="s">
        <v>437</v>
      </c>
      <c r="J7">
        <v>9</v>
      </c>
      <c r="K7" t="s">
        <v>440</v>
      </c>
      <c r="L7">
        <v>84</v>
      </c>
      <c r="M7" t="s">
        <v>445</v>
      </c>
    </row>
    <row r="8" spans="1:13" x14ac:dyDescent="0.45">
      <c r="A8" t="s">
        <v>30</v>
      </c>
      <c r="B8" t="s">
        <v>15</v>
      </c>
      <c r="C8" t="s">
        <v>23</v>
      </c>
      <c r="D8" t="s">
        <v>31</v>
      </c>
      <c r="E8" t="s">
        <v>13</v>
      </c>
      <c r="F8">
        <v>81</v>
      </c>
      <c r="G8" t="s">
        <v>438</v>
      </c>
      <c r="H8" s="1">
        <v>1466</v>
      </c>
      <c r="I8" s="1" t="s">
        <v>434</v>
      </c>
      <c r="J8">
        <v>2</v>
      </c>
      <c r="K8" t="s">
        <v>464</v>
      </c>
      <c r="L8">
        <v>86</v>
      </c>
      <c r="M8" t="s">
        <v>433</v>
      </c>
    </row>
    <row r="9" spans="1:13" x14ac:dyDescent="0.45">
      <c r="A9" t="s">
        <v>32</v>
      </c>
      <c r="B9" t="s">
        <v>22</v>
      </c>
      <c r="C9" t="s">
        <v>11</v>
      </c>
      <c r="D9" t="s">
        <v>12</v>
      </c>
      <c r="E9" t="s">
        <v>13</v>
      </c>
      <c r="F9">
        <v>38</v>
      </c>
      <c r="G9" t="s">
        <v>446</v>
      </c>
      <c r="H9" s="1">
        <v>6307</v>
      </c>
      <c r="I9" s="1" t="s">
        <v>437</v>
      </c>
      <c r="J9">
        <v>8</v>
      </c>
      <c r="K9" t="s">
        <v>440</v>
      </c>
      <c r="L9">
        <v>56</v>
      </c>
      <c r="M9" t="s">
        <v>439</v>
      </c>
    </row>
    <row r="10" spans="1:13" x14ac:dyDescent="0.45">
      <c r="A10" t="s">
        <v>33</v>
      </c>
      <c r="B10" t="s">
        <v>25</v>
      </c>
      <c r="C10" t="s">
        <v>26</v>
      </c>
      <c r="D10" t="s">
        <v>34</v>
      </c>
      <c r="E10" t="s">
        <v>13</v>
      </c>
      <c r="F10">
        <v>47</v>
      </c>
      <c r="G10" t="s">
        <v>441</v>
      </c>
      <c r="H10" s="1">
        <v>2332</v>
      </c>
      <c r="I10" s="1" t="s">
        <v>434</v>
      </c>
      <c r="J10">
        <v>7</v>
      </c>
      <c r="K10" t="s">
        <v>440</v>
      </c>
      <c r="L10">
        <v>72</v>
      </c>
      <c r="M10" t="s">
        <v>445</v>
      </c>
    </row>
    <row r="11" spans="1:13" x14ac:dyDescent="0.45">
      <c r="A11" t="s">
        <v>35</v>
      </c>
      <c r="B11" t="s">
        <v>22</v>
      </c>
      <c r="C11" t="s">
        <v>26</v>
      </c>
      <c r="D11" t="s">
        <v>31</v>
      </c>
      <c r="E11" t="s">
        <v>13</v>
      </c>
      <c r="F11">
        <v>22</v>
      </c>
      <c r="G11" t="s">
        <v>435</v>
      </c>
      <c r="H11" s="1">
        <v>5375</v>
      </c>
      <c r="I11" s="1" t="s">
        <v>437</v>
      </c>
      <c r="J11">
        <v>5</v>
      </c>
      <c r="K11" t="s">
        <v>436</v>
      </c>
      <c r="L11">
        <v>60</v>
      </c>
      <c r="M11" t="s">
        <v>439</v>
      </c>
    </row>
    <row r="12" spans="1:13" x14ac:dyDescent="0.45">
      <c r="A12" t="s">
        <v>36</v>
      </c>
      <c r="B12" t="s">
        <v>25</v>
      </c>
      <c r="C12" t="s">
        <v>23</v>
      </c>
      <c r="D12" t="s">
        <v>27</v>
      </c>
      <c r="E12" t="s">
        <v>37</v>
      </c>
      <c r="F12">
        <v>82</v>
      </c>
      <c r="G12" t="s">
        <v>438</v>
      </c>
      <c r="H12" s="1">
        <v>1609</v>
      </c>
      <c r="I12" s="1" t="s">
        <v>434</v>
      </c>
      <c r="J12">
        <v>3</v>
      </c>
      <c r="K12" t="s">
        <v>464</v>
      </c>
      <c r="L12">
        <v>64</v>
      </c>
      <c r="M12" t="s">
        <v>439</v>
      </c>
    </row>
    <row r="13" spans="1:13" x14ac:dyDescent="0.45">
      <c r="A13" t="s">
        <v>38</v>
      </c>
      <c r="B13" t="s">
        <v>10</v>
      </c>
      <c r="C13" t="s">
        <v>26</v>
      </c>
      <c r="D13" t="s">
        <v>12</v>
      </c>
      <c r="E13" t="s">
        <v>17</v>
      </c>
      <c r="F13">
        <v>5</v>
      </c>
      <c r="G13" t="s">
        <v>450</v>
      </c>
      <c r="H13" s="1">
        <v>3584</v>
      </c>
      <c r="I13" s="1" t="s">
        <v>437</v>
      </c>
      <c r="J13">
        <v>8</v>
      </c>
      <c r="K13" t="s">
        <v>440</v>
      </c>
      <c r="L13">
        <v>67</v>
      </c>
      <c r="M13" t="s">
        <v>439</v>
      </c>
    </row>
    <row r="14" spans="1:13" x14ac:dyDescent="0.45">
      <c r="A14" t="s">
        <v>39</v>
      </c>
      <c r="B14" t="s">
        <v>15</v>
      </c>
      <c r="C14" t="s">
        <v>40</v>
      </c>
      <c r="D14" t="s">
        <v>16</v>
      </c>
      <c r="E14" t="s">
        <v>13</v>
      </c>
      <c r="F14">
        <v>41</v>
      </c>
      <c r="G14" t="s">
        <v>446</v>
      </c>
      <c r="H14" s="1">
        <v>2241</v>
      </c>
      <c r="I14" s="1" t="s">
        <v>434</v>
      </c>
      <c r="J14">
        <v>4</v>
      </c>
      <c r="K14" t="s">
        <v>436</v>
      </c>
      <c r="L14">
        <v>75</v>
      </c>
      <c r="M14" t="s">
        <v>445</v>
      </c>
    </row>
    <row r="15" spans="1:13" x14ac:dyDescent="0.45">
      <c r="A15" t="s">
        <v>41</v>
      </c>
      <c r="B15" t="s">
        <v>10</v>
      </c>
      <c r="C15" t="s">
        <v>23</v>
      </c>
      <c r="D15" t="s">
        <v>42</v>
      </c>
      <c r="E15" t="s">
        <v>17</v>
      </c>
      <c r="F15">
        <v>32</v>
      </c>
      <c r="G15" t="s">
        <v>446</v>
      </c>
      <c r="H15" s="1">
        <v>1725</v>
      </c>
      <c r="I15" s="1" t="s">
        <v>434</v>
      </c>
      <c r="J15">
        <v>3</v>
      </c>
      <c r="K15" t="s">
        <v>464</v>
      </c>
      <c r="L15">
        <v>84</v>
      </c>
      <c r="M15" t="s">
        <v>445</v>
      </c>
    </row>
    <row r="16" spans="1:13" x14ac:dyDescent="0.45">
      <c r="A16" t="s">
        <v>43</v>
      </c>
      <c r="B16" t="s">
        <v>44</v>
      </c>
      <c r="C16" t="s">
        <v>23</v>
      </c>
      <c r="D16" t="s">
        <v>16</v>
      </c>
      <c r="E16" t="s">
        <v>17</v>
      </c>
      <c r="F16">
        <v>29</v>
      </c>
      <c r="G16" t="s">
        <v>435</v>
      </c>
      <c r="H16" s="1">
        <v>483</v>
      </c>
      <c r="I16" s="1" t="s">
        <v>434</v>
      </c>
      <c r="J16">
        <v>3</v>
      </c>
      <c r="K16" t="s">
        <v>464</v>
      </c>
      <c r="L16">
        <v>81</v>
      </c>
      <c r="M16" t="s">
        <v>445</v>
      </c>
    </row>
    <row r="17" spans="1:13" x14ac:dyDescent="0.45">
      <c r="A17" t="s">
        <v>45</v>
      </c>
      <c r="B17" t="s">
        <v>15</v>
      </c>
      <c r="C17" t="s">
        <v>11</v>
      </c>
      <c r="D17" t="s">
        <v>31</v>
      </c>
      <c r="E17" t="s">
        <v>17</v>
      </c>
      <c r="F17">
        <v>21</v>
      </c>
      <c r="G17" t="s">
        <v>435</v>
      </c>
      <c r="H17" s="1">
        <v>17977</v>
      </c>
      <c r="I17" s="1" t="s">
        <v>444</v>
      </c>
      <c r="J17">
        <v>15</v>
      </c>
      <c r="K17" t="s">
        <v>463</v>
      </c>
      <c r="L17">
        <v>77</v>
      </c>
      <c r="M17" t="s">
        <v>442</v>
      </c>
    </row>
    <row r="18" spans="1:13" x14ac:dyDescent="0.45">
      <c r="A18" t="s">
        <v>46</v>
      </c>
      <c r="B18" t="s">
        <v>19</v>
      </c>
      <c r="C18" t="s">
        <v>11</v>
      </c>
      <c r="D18" t="s">
        <v>47</v>
      </c>
      <c r="E18" t="s">
        <v>17</v>
      </c>
      <c r="F18">
        <v>60</v>
      </c>
      <c r="G18" t="s">
        <v>441</v>
      </c>
      <c r="H18" s="1">
        <v>13669</v>
      </c>
      <c r="I18" s="1" t="s">
        <v>451</v>
      </c>
      <c r="J18">
        <v>9</v>
      </c>
      <c r="K18" t="s">
        <v>440</v>
      </c>
      <c r="L18">
        <v>85</v>
      </c>
      <c r="M18" t="s">
        <v>445</v>
      </c>
    </row>
    <row r="19" spans="1:13" x14ac:dyDescent="0.45">
      <c r="A19" t="s">
        <v>48</v>
      </c>
      <c r="B19" t="s">
        <v>49</v>
      </c>
      <c r="C19" t="s">
        <v>11</v>
      </c>
      <c r="D19" t="s">
        <v>31</v>
      </c>
      <c r="E19" t="s">
        <v>13</v>
      </c>
      <c r="F19">
        <v>69</v>
      </c>
      <c r="G19" t="s">
        <v>438</v>
      </c>
      <c r="H19" s="1">
        <v>17302</v>
      </c>
      <c r="I19" s="1" t="s">
        <v>444</v>
      </c>
      <c r="J19">
        <v>9</v>
      </c>
      <c r="K19" t="s">
        <v>440</v>
      </c>
      <c r="L19">
        <v>99</v>
      </c>
      <c r="M19" t="s">
        <v>445</v>
      </c>
    </row>
    <row r="20" spans="1:13" x14ac:dyDescent="0.45">
      <c r="A20" t="s">
        <v>50</v>
      </c>
      <c r="B20" t="s">
        <v>10</v>
      </c>
      <c r="C20" t="s">
        <v>26</v>
      </c>
      <c r="D20" t="s">
        <v>31</v>
      </c>
      <c r="E20" t="s">
        <v>17</v>
      </c>
      <c r="F20">
        <v>21</v>
      </c>
      <c r="G20" t="s">
        <v>435</v>
      </c>
      <c r="H20" s="1">
        <v>4716</v>
      </c>
      <c r="I20" s="1" t="s">
        <v>437</v>
      </c>
      <c r="J20">
        <v>2</v>
      </c>
      <c r="K20" t="s">
        <v>464</v>
      </c>
      <c r="L20">
        <v>96</v>
      </c>
      <c r="M20" t="s">
        <v>433</v>
      </c>
    </row>
    <row r="21" spans="1:13" x14ac:dyDescent="0.45">
      <c r="A21" t="s">
        <v>51</v>
      </c>
      <c r="B21" t="s">
        <v>10</v>
      </c>
      <c r="C21" t="s">
        <v>26</v>
      </c>
      <c r="D21" t="s">
        <v>20</v>
      </c>
      <c r="E21" t="s">
        <v>13</v>
      </c>
      <c r="F21">
        <v>65</v>
      </c>
      <c r="G21" t="s">
        <v>438</v>
      </c>
      <c r="H21" s="1">
        <v>1871</v>
      </c>
      <c r="I21" s="1" t="s">
        <v>434</v>
      </c>
      <c r="J21">
        <v>6</v>
      </c>
      <c r="K21" t="s">
        <v>436</v>
      </c>
      <c r="L21">
        <v>90</v>
      </c>
      <c r="M21" t="s">
        <v>445</v>
      </c>
    </row>
    <row r="22" spans="1:13" x14ac:dyDescent="0.45">
      <c r="A22" t="s">
        <v>52</v>
      </c>
      <c r="B22" t="s">
        <v>19</v>
      </c>
      <c r="C22" t="s">
        <v>40</v>
      </c>
      <c r="D22" t="s">
        <v>42</v>
      </c>
      <c r="E22" t="s">
        <v>17</v>
      </c>
      <c r="F22">
        <v>21</v>
      </c>
      <c r="G22" t="s">
        <v>435</v>
      </c>
      <c r="H22" s="1">
        <v>4918</v>
      </c>
      <c r="I22" s="1" t="s">
        <v>437</v>
      </c>
      <c r="J22">
        <v>5</v>
      </c>
      <c r="K22" t="s">
        <v>436</v>
      </c>
      <c r="L22">
        <v>50</v>
      </c>
      <c r="M22" t="s">
        <v>439</v>
      </c>
    </row>
    <row r="23" spans="1:13" x14ac:dyDescent="0.45">
      <c r="A23" t="s">
        <v>53</v>
      </c>
      <c r="B23" t="s">
        <v>19</v>
      </c>
      <c r="C23" t="s">
        <v>26</v>
      </c>
      <c r="D23" t="s">
        <v>34</v>
      </c>
      <c r="E23" t="s">
        <v>17</v>
      </c>
      <c r="F23">
        <v>47</v>
      </c>
      <c r="G23" t="s">
        <v>441</v>
      </c>
      <c r="H23" s="1">
        <v>3519</v>
      </c>
      <c r="I23" s="1" t="s">
        <v>437</v>
      </c>
      <c r="J23">
        <v>5</v>
      </c>
      <c r="K23" t="s">
        <v>436</v>
      </c>
      <c r="L23">
        <v>53</v>
      </c>
      <c r="M23" t="s">
        <v>439</v>
      </c>
    </row>
    <row r="24" spans="1:13" x14ac:dyDescent="0.45">
      <c r="A24" t="s">
        <v>54</v>
      </c>
      <c r="B24" t="s">
        <v>22</v>
      </c>
      <c r="C24" t="s">
        <v>11</v>
      </c>
      <c r="D24" t="s">
        <v>31</v>
      </c>
      <c r="E24" t="s">
        <v>13</v>
      </c>
      <c r="F24">
        <v>9</v>
      </c>
      <c r="G24" t="s">
        <v>449</v>
      </c>
      <c r="H24" s="1">
        <v>17461</v>
      </c>
      <c r="I24" s="1" t="s">
        <v>444</v>
      </c>
      <c r="J24">
        <v>13</v>
      </c>
      <c r="K24" t="s">
        <v>463</v>
      </c>
      <c r="L24">
        <v>99</v>
      </c>
      <c r="M24" t="s">
        <v>442</v>
      </c>
    </row>
    <row r="25" spans="1:13" x14ac:dyDescent="0.45">
      <c r="A25" t="s">
        <v>55</v>
      </c>
      <c r="B25" t="s">
        <v>22</v>
      </c>
      <c r="C25" t="s">
        <v>40</v>
      </c>
      <c r="D25" t="s">
        <v>34</v>
      </c>
      <c r="E25" t="s">
        <v>13</v>
      </c>
      <c r="F25">
        <v>22</v>
      </c>
      <c r="G25" t="s">
        <v>435</v>
      </c>
      <c r="H25" s="1">
        <v>2671</v>
      </c>
      <c r="I25" s="1" t="s">
        <v>434</v>
      </c>
      <c r="J25">
        <v>5</v>
      </c>
      <c r="K25" t="s">
        <v>436</v>
      </c>
      <c r="L25">
        <v>88</v>
      </c>
      <c r="M25" t="s">
        <v>433</v>
      </c>
    </row>
    <row r="26" spans="1:13" x14ac:dyDescent="0.45">
      <c r="A26" t="s">
        <v>56</v>
      </c>
      <c r="B26" t="s">
        <v>25</v>
      </c>
      <c r="C26" t="s">
        <v>40</v>
      </c>
      <c r="D26" t="s">
        <v>20</v>
      </c>
      <c r="E26" t="s">
        <v>13</v>
      </c>
      <c r="F26">
        <v>89</v>
      </c>
      <c r="G26" t="s">
        <v>438</v>
      </c>
      <c r="H26" s="1">
        <v>2147</v>
      </c>
      <c r="I26" s="1" t="s">
        <v>434</v>
      </c>
      <c r="J26">
        <v>3</v>
      </c>
      <c r="K26" t="s">
        <v>464</v>
      </c>
      <c r="L26">
        <v>75</v>
      </c>
      <c r="M26" t="s">
        <v>445</v>
      </c>
    </row>
    <row r="27" spans="1:13" x14ac:dyDescent="0.45">
      <c r="A27" t="s">
        <v>57</v>
      </c>
      <c r="B27" t="s">
        <v>10</v>
      </c>
      <c r="C27" t="s">
        <v>26</v>
      </c>
      <c r="D27" t="s">
        <v>34</v>
      </c>
      <c r="E27" t="s">
        <v>13</v>
      </c>
      <c r="F27">
        <v>58</v>
      </c>
      <c r="G27" t="s">
        <v>441</v>
      </c>
      <c r="H27" s="1">
        <v>1991</v>
      </c>
      <c r="I27" s="1" t="s">
        <v>434</v>
      </c>
      <c r="J27">
        <v>5</v>
      </c>
      <c r="K27" t="s">
        <v>436</v>
      </c>
      <c r="L27">
        <v>64</v>
      </c>
      <c r="M27" t="s">
        <v>439</v>
      </c>
    </row>
    <row r="28" spans="1:13" x14ac:dyDescent="0.45">
      <c r="A28" t="s">
        <v>58</v>
      </c>
      <c r="B28" t="s">
        <v>15</v>
      </c>
      <c r="C28" t="s">
        <v>26</v>
      </c>
      <c r="D28" t="s">
        <v>12</v>
      </c>
      <c r="E28" t="s">
        <v>13</v>
      </c>
      <c r="F28">
        <v>30</v>
      </c>
      <c r="G28" t="s">
        <v>446</v>
      </c>
      <c r="H28" s="1">
        <v>5820</v>
      </c>
      <c r="I28" s="1" t="s">
        <v>437</v>
      </c>
      <c r="J28">
        <v>5</v>
      </c>
      <c r="K28" t="s">
        <v>436</v>
      </c>
      <c r="L28">
        <v>50</v>
      </c>
      <c r="M28" t="s">
        <v>439</v>
      </c>
    </row>
    <row r="29" spans="1:13" s="2" customFormat="1" x14ac:dyDescent="0.45">
      <c r="A29" s="2" t="s">
        <v>59</v>
      </c>
      <c r="B29" s="2" t="s">
        <v>15</v>
      </c>
      <c r="C29" s="2" t="s">
        <v>11</v>
      </c>
      <c r="D29" s="2" t="s">
        <v>60</v>
      </c>
      <c r="E29" s="2" t="s">
        <v>17</v>
      </c>
      <c r="F29" s="2">
        <v>5</v>
      </c>
      <c r="G29" s="2" t="s">
        <v>450</v>
      </c>
      <c r="H29" s="3">
        <v>19084</v>
      </c>
      <c r="I29" s="3" t="s">
        <v>444</v>
      </c>
      <c r="J29" s="2">
        <v>10</v>
      </c>
      <c r="K29" s="2" t="s">
        <v>443</v>
      </c>
      <c r="L29" s="2">
        <v>54</v>
      </c>
      <c r="M29" s="2" t="s">
        <v>439</v>
      </c>
    </row>
    <row r="30" spans="1:13" x14ac:dyDescent="0.45">
      <c r="A30" t="s">
        <v>61</v>
      </c>
      <c r="B30" t="s">
        <v>19</v>
      </c>
      <c r="C30" t="s">
        <v>40</v>
      </c>
      <c r="D30" t="s">
        <v>27</v>
      </c>
      <c r="E30" t="s">
        <v>13</v>
      </c>
      <c r="F30">
        <v>28</v>
      </c>
      <c r="G30" t="s">
        <v>435</v>
      </c>
      <c r="H30" s="1">
        <v>4917</v>
      </c>
      <c r="I30" s="1" t="s">
        <v>437</v>
      </c>
      <c r="J30">
        <v>2</v>
      </c>
      <c r="K30" t="s">
        <v>464</v>
      </c>
      <c r="L30">
        <v>96</v>
      </c>
      <c r="M30" t="s">
        <v>433</v>
      </c>
    </row>
    <row r="31" spans="1:13" x14ac:dyDescent="0.45">
      <c r="A31" t="s">
        <v>62</v>
      </c>
      <c r="B31" t="s">
        <v>19</v>
      </c>
      <c r="C31" t="s">
        <v>23</v>
      </c>
      <c r="D31" t="s">
        <v>60</v>
      </c>
      <c r="E31" t="s">
        <v>13</v>
      </c>
      <c r="F31">
        <v>53</v>
      </c>
      <c r="G31" t="s">
        <v>441</v>
      </c>
      <c r="H31" s="1">
        <v>589</v>
      </c>
      <c r="I31" s="1" t="s">
        <v>434</v>
      </c>
      <c r="J31">
        <v>1</v>
      </c>
      <c r="K31" t="s">
        <v>464</v>
      </c>
      <c r="L31">
        <v>56</v>
      </c>
      <c r="M31" t="s">
        <v>439</v>
      </c>
    </row>
    <row r="32" spans="1:13" x14ac:dyDescent="0.45">
      <c r="A32" t="s">
        <v>63</v>
      </c>
      <c r="B32" t="s">
        <v>10</v>
      </c>
      <c r="C32" t="s">
        <v>23</v>
      </c>
      <c r="D32" t="s">
        <v>29</v>
      </c>
      <c r="E32" t="s">
        <v>17</v>
      </c>
      <c r="F32">
        <v>60</v>
      </c>
      <c r="G32" t="s">
        <v>441</v>
      </c>
      <c r="H32" s="1">
        <v>1969</v>
      </c>
      <c r="I32" s="1" t="s">
        <v>434</v>
      </c>
      <c r="J32">
        <v>3</v>
      </c>
      <c r="K32" t="s">
        <v>464</v>
      </c>
      <c r="L32">
        <v>53</v>
      </c>
      <c r="M32" t="s">
        <v>439</v>
      </c>
    </row>
    <row r="33" spans="1:13" x14ac:dyDescent="0.45">
      <c r="A33" t="s">
        <v>64</v>
      </c>
      <c r="B33" t="s">
        <v>10</v>
      </c>
      <c r="C33" t="s">
        <v>11</v>
      </c>
      <c r="D33" t="s">
        <v>12</v>
      </c>
      <c r="E33" t="s">
        <v>17</v>
      </c>
      <c r="F33">
        <v>44</v>
      </c>
      <c r="G33" t="s">
        <v>446</v>
      </c>
      <c r="H33" s="1">
        <v>18116</v>
      </c>
      <c r="I33" s="1" t="s">
        <v>444</v>
      </c>
      <c r="J33">
        <v>6</v>
      </c>
      <c r="K33" t="s">
        <v>436</v>
      </c>
      <c r="L33">
        <v>65</v>
      </c>
      <c r="M33" t="s">
        <v>439</v>
      </c>
    </row>
    <row r="34" spans="1:13" x14ac:dyDescent="0.45">
      <c r="A34" t="s">
        <v>65</v>
      </c>
      <c r="B34" t="s">
        <v>22</v>
      </c>
      <c r="C34" t="s">
        <v>40</v>
      </c>
      <c r="D34" t="s">
        <v>20</v>
      </c>
      <c r="E34" t="s">
        <v>17</v>
      </c>
      <c r="F34">
        <v>55</v>
      </c>
      <c r="G34" t="s">
        <v>441</v>
      </c>
      <c r="H34" s="1">
        <v>2003</v>
      </c>
      <c r="I34" s="1" t="s">
        <v>434</v>
      </c>
      <c r="J34">
        <v>3</v>
      </c>
      <c r="K34" t="s">
        <v>464</v>
      </c>
      <c r="L34">
        <v>79</v>
      </c>
      <c r="M34" t="s">
        <v>445</v>
      </c>
    </row>
    <row r="35" spans="1:13" x14ac:dyDescent="0.45">
      <c r="A35" t="s">
        <v>66</v>
      </c>
      <c r="B35" t="s">
        <v>22</v>
      </c>
      <c r="C35" t="s">
        <v>11</v>
      </c>
      <c r="D35" t="s">
        <v>34</v>
      </c>
      <c r="E35" t="s">
        <v>13</v>
      </c>
      <c r="F35">
        <v>71</v>
      </c>
      <c r="G35" t="s">
        <v>438</v>
      </c>
      <c r="H35" s="1">
        <v>6604</v>
      </c>
      <c r="I35" s="1" t="s">
        <v>437</v>
      </c>
      <c r="J35">
        <v>5</v>
      </c>
      <c r="K35" t="s">
        <v>436</v>
      </c>
      <c r="L35">
        <v>91</v>
      </c>
      <c r="M35" t="s">
        <v>433</v>
      </c>
    </row>
    <row r="36" spans="1:13" x14ac:dyDescent="0.45">
      <c r="A36" t="s">
        <v>67</v>
      </c>
      <c r="B36" t="s">
        <v>19</v>
      </c>
      <c r="C36" t="s">
        <v>11</v>
      </c>
      <c r="D36" t="s">
        <v>31</v>
      </c>
      <c r="E36" t="s">
        <v>13</v>
      </c>
      <c r="F36">
        <v>31</v>
      </c>
      <c r="G36" t="s">
        <v>446</v>
      </c>
      <c r="H36" s="1">
        <v>7724</v>
      </c>
      <c r="I36" s="1" t="s">
        <v>448</v>
      </c>
      <c r="J36">
        <v>11</v>
      </c>
      <c r="K36" t="s">
        <v>443</v>
      </c>
      <c r="L36">
        <v>81</v>
      </c>
      <c r="M36" t="s">
        <v>439</v>
      </c>
    </row>
    <row r="37" spans="1:13" x14ac:dyDescent="0.45">
      <c r="A37" t="s">
        <v>68</v>
      </c>
      <c r="B37" t="s">
        <v>25</v>
      </c>
      <c r="C37" t="s">
        <v>40</v>
      </c>
      <c r="D37" t="s">
        <v>47</v>
      </c>
      <c r="E37" t="s">
        <v>13</v>
      </c>
      <c r="F37">
        <v>22</v>
      </c>
      <c r="G37" t="s">
        <v>435</v>
      </c>
      <c r="H37" s="1">
        <v>3604</v>
      </c>
      <c r="I37" s="1" t="s">
        <v>437</v>
      </c>
      <c r="J37">
        <v>1</v>
      </c>
      <c r="K37" t="s">
        <v>464</v>
      </c>
      <c r="L37">
        <v>74</v>
      </c>
      <c r="M37" t="s">
        <v>445</v>
      </c>
    </row>
    <row r="38" spans="1:13" x14ac:dyDescent="0.45">
      <c r="A38" t="s">
        <v>69</v>
      </c>
      <c r="B38" t="s">
        <v>44</v>
      </c>
      <c r="C38" t="s">
        <v>23</v>
      </c>
      <c r="D38" t="s">
        <v>27</v>
      </c>
      <c r="E38" t="s">
        <v>17</v>
      </c>
      <c r="F38">
        <v>72</v>
      </c>
      <c r="G38" t="s">
        <v>438</v>
      </c>
      <c r="H38" s="1">
        <v>1555</v>
      </c>
      <c r="I38" s="1" t="s">
        <v>434</v>
      </c>
      <c r="J38">
        <v>3</v>
      </c>
      <c r="K38" t="s">
        <v>464</v>
      </c>
      <c r="L38">
        <v>81</v>
      </c>
      <c r="M38" t="s">
        <v>445</v>
      </c>
    </row>
    <row r="39" spans="1:13" x14ac:dyDescent="0.45">
      <c r="A39" t="s">
        <v>70</v>
      </c>
      <c r="B39" t="s">
        <v>22</v>
      </c>
      <c r="C39" t="s">
        <v>40</v>
      </c>
      <c r="D39" t="s">
        <v>27</v>
      </c>
      <c r="E39" t="s">
        <v>17</v>
      </c>
      <c r="F39">
        <v>8</v>
      </c>
      <c r="G39" t="s">
        <v>449</v>
      </c>
      <c r="H39" s="1">
        <v>4941</v>
      </c>
      <c r="I39" s="1" t="s">
        <v>437</v>
      </c>
      <c r="J39">
        <v>1</v>
      </c>
      <c r="K39" t="s">
        <v>464</v>
      </c>
      <c r="L39">
        <v>97</v>
      </c>
      <c r="M39" t="s">
        <v>433</v>
      </c>
    </row>
    <row r="40" spans="1:13" x14ac:dyDescent="0.45">
      <c r="A40" t="s">
        <v>71</v>
      </c>
      <c r="B40" t="s">
        <v>44</v>
      </c>
      <c r="C40" t="s">
        <v>11</v>
      </c>
      <c r="D40" t="s">
        <v>12</v>
      </c>
      <c r="E40" t="s">
        <v>13</v>
      </c>
      <c r="F40">
        <v>65</v>
      </c>
      <c r="G40" t="s">
        <v>438</v>
      </c>
      <c r="H40" s="1">
        <v>18970</v>
      </c>
      <c r="I40" s="1" t="s">
        <v>444</v>
      </c>
      <c r="J40">
        <v>13</v>
      </c>
      <c r="K40" t="s">
        <v>463</v>
      </c>
      <c r="L40">
        <v>60</v>
      </c>
      <c r="M40" t="s">
        <v>442</v>
      </c>
    </row>
    <row r="41" spans="1:13" x14ac:dyDescent="0.45">
      <c r="A41" t="s">
        <v>72</v>
      </c>
      <c r="B41" t="s">
        <v>15</v>
      </c>
      <c r="C41" t="s">
        <v>11</v>
      </c>
      <c r="D41" t="s">
        <v>42</v>
      </c>
      <c r="E41" t="s">
        <v>17</v>
      </c>
      <c r="F41">
        <v>9</v>
      </c>
      <c r="G41" t="s">
        <v>449</v>
      </c>
      <c r="H41" s="1">
        <v>16062</v>
      </c>
      <c r="I41" s="1" t="s">
        <v>444</v>
      </c>
      <c r="J41">
        <v>8</v>
      </c>
      <c r="K41" t="s">
        <v>440</v>
      </c>
      <c r="L41">
        <v>75</v>
      </c>
      <c r="M41" t="s">
        <v>445</v>
      </c>
    </row>
    <row r="42" spans="1:13" x14ac:dyDescent="0.45">
      <c r="A42" t="s">
        <v>73</v>
      </c>
      <c r="B42" t="s">
        <v>15</v>
      </c>
      <c r="C42" t="s">
        <v>40</v>
      </c>
      <c r="D42" t="s">
        <v>16</v>
      </c>
      <c r="E42" t="s">
        <v>13</v>
      </c>
      <c r="F42">
        <v>80</v>
      </c>
      <c r="G42" t="s">
        <v>438</v>
      </c>
      <c r="H42" s="1">
        <v>1171</v>
      </c>
      <c r="I42" s="1" t="s">
        <v>434</v>
      </c>
      <c r="J42">
        <v>4</v>
      </c>
      <c r="K42" t="s">
        <v>436</v>
      </c>
      <c r="L42">
        <v>92</v>
      </c>
      <c r="M42" t="s">
        <v>433</v>
      </c>
    </row>
    <row r="43" spans="1:13" x14ac:dyDescent="0.45">
      <c r="A43" t="s">
        <v>74</v>
      </c>
      <c r="B43" t="s">
        <v>19</v>
      </c>
      <c r="C43" t="s">
        <v>26</v>
      </c>
      <c r="D43" t="s">
        <v>27</v>
      </c>
      <c r="E43" t="s">
        <v>17</v>
      </c>
      <c r="F43">
        <v>41</v>
      </c>
      <c r="G43" t="s">
        <v>446</v>
      </c>
      <c r="H43" s="1">
        <v>2955</v>
      </c>
      <c r="I43" s="1" t="s">
        <v>434</v>
      </c>
      <c r="J43">
        <v>6</v>
      </c>
      <c r="K43" t="s">
        <v>436</v>
      </c>
      <c r="L43">
        <v>75</v>
      </c>
      <c r="M43" t="s">
        <v>445</v>
      </c>
    </row>
    <row r="44" spans="1:13" x14ac:dyDescent="0.45">
      <c r="A44" t="s">
        <v>75</v>
      </c>
      <c r="B44" t="s">
        <v>22</v>
      </c>
      <c r="C44" t="s">
        <v>26</v>
      </c>
      <c r="D44" t="s">
        <v>34</v>
      </c>
      <c r="E44" t="s">
        <v>17</v>
      </c>
      <c r="F44">
        <v>10</v>
      </c>
      <c r="G44" t="s">
        <v>449</v>
      </c>
      <c r="H44" s="1">
        <v>1076</v>
      </c>
      <c r="I44" s="1" t="s">
        <v>434</v>
      </c>
      <c r="J44">
        <v>9</v>
      </c>
      <c r="K44" t="s">
        <v>440</v>
      </c>
      <c r="L44">
        <v>89</v>
      </c>
      <c r="M44" t="s">
        <v>445</v>
      </c>
    </row>
    <row r="45" spans="1:13" x14ac:dyDescent="0.45">
      <c r="A45" t="s">
        <v>76</v>
      </c>
      <c r="B45" t="s">
        <v>19</v>
      </c>
      <c r="C45" t="s">
        <v>11</v>
      </c>
      <c r="D45" t="s">
        <v>31</v>
      </c>
      <c r="E45" t="s">
        <v>13</v>
      </c>
      <c r="F45">
        <v>65</v>
      </c>
      <c r="G45" t="s">
        <v>438</v>
      </c>
      <c r="H45" s="1">
        <v>9345</v>
      </c>
      <c r="I45" s="1" t="s">
        <v>448</v>
      </c>
      <c r="J45">
        <v>7</v>
      </c>
      <c r="K45" t="s">
        <v>440</v>
      </c>
      <c r="L45">
        <v>72</v>
      </c>
      <c r="M45" t="s">
        <v>445</v>
      </c>
    </row>
    <row r="46" spans="1:13" x14ac:dyDescent="0.45">
      <c r="A46" t="s">
        <v>77</v>
      </c>
      <c r="B46" t="s">
        <v>15</v>
      </c>
      <c r="C46" t="s">
        <v>40</v>
      </c>
      <c r="D46" t="s">
        <v>29</v>
      </c>
      <c r="E46" t="s">
        <v>17</v>
      </c>
      <c r="F46">
        <v>57</v>
      </c>
      <c r="G46" t="s">
        <v>441</v>
      </c>
      <c r="H46" s="1">
        <v>4950</v>
      </c>
      <c r="I46" s="1" t="s">
        <v>437</v>
      </c>
      <c r="J46">
        <v>3</v>
      </c>
      <c r="K46" t="s">
        <v>464</v>
      </c>
      <c r="L46">
        <v>89</v>
      </c>
      <c r="M46" t="s">
        <v>433</v>
      </c>
    </row>
    <row r="47" spans="1:13" x14ac:dyDescent="0.45">
      <c r="A47" t="s">
        <v>78</v>
      </c>
      <c r="B47" t="s">
        <v>49</v>
      </c>
      <c r="C47" t="s">
        <v>11</v>
      </c>
      <c r="D47" t="s">
        <v>20</v>
      </c>
      <c r="E47" t="s">
        <v>17</v>
      </c>
      <c r="F47">
        <v>85</v>
      </c>
      <c r="G47" t="s">
        <v>438</v>
      </c>
      <c r="H47" s="1">
        <v>6697</v>
      </c>
      <c r="I47" s="1" t="s">
        <v>437</v>
      </c>
      <c r="J47">
        <v>7</v>
      </c>
      <c r="K47" t="s">
        <v>440</v>
      </c>
      <c r="L47">
        <v>66</v>
      </c>
      <c r="M47" t="s">
        <v>439</v>
      </c>
    </row>
    <row r="48" spans="1:13" x14ac:dyDescent="0.45">
      <c r="A48" t="s">
        <v>79</v>
      </c>
      <c r="B48" t="s">
        <v>15</v>
      </c>
      <c r="C48" t="s">
        <v>11</v>
      </c>
      <c r="D48" t="s">
        <v>20</v>
      </c>
      <c r="E48" t="s">
        <v>17</v>
      </c>
      <c r="F48">
        <v>37</v>
      </c>
      <c r="G48" t="s">
        <v>446</v>
      </c>
      <c r="H48" s="1">
        <v>14909</v>
      </c>
      <c r="I48" s="1" t="s">
        <v>451</v>
      </c>
      <c r="J48">
        <v>8</v>
      </c>
      <c r="K48" t="s">
        <v>440</v>
      </c>
      <c r="L48">
        <v>95</v>
      </c>
      <c r="M48" t="s">
        <v>445</v>
      </c>
    </row>
    <row r="49" spans="1:13" x14ac:dyDescent="0.45">
      <c r="A49" t="s">
        <v>80</v>
      </c>
      <c r="B49" t="s">
        <v>44</v>
      </c>
      <c r="C49" t="s">
        <v>40</v>
      </c>
      <c r="D49" t="s">
        <v>27</v>
      </c>
      <c r="E49" t="s">
        <v>13</v>
      </c>
      <c r="F49">
        <v>33</v>
      </c>
      <c r="G49" t="s">
        <v>446</v>
      </c>
      <c r="H49" s="1">
        <v>916</v>
      </c>
      <c r="I49" s="1" t="s">
        <v>434</v>
      </c>
      <c r="J49">
        <v>1</v>
      </c>
      <c r="K49" t="s">
        <v>464</v>
      </c>
      <c r="L49">
        <v>90</v>
      </c>
      <c r="M49" t="s">
        <v>433</v>
      </c>
    </row>
    <row r="50" spans="1:13" x14ac:dyDescent="0.45">
      <c r="A50" t="s">
        <v>81</v>
      </c>
      <c r="B50" t="s">
        <v>25</v>
      </c>
      <c r="C50" t="s">
        <v>26</v>
      </c>
      <c r="D50" t="s">
        <v>12</v>
      </c>
      <c r="E50" t="s">
        <v>17</v>
      </c>
      <c r="F50">
        <v>17</v>
      </c>
      <c r="G50" t="s">
        <v>447</v>
      </c>
      <c r="H50" s="1">
        <v>6219</v>
      </c>
      <c r="I50" s="1" t="s">
        <v>437</v>
      </c>
      <c r="J50">
        <v>6</v>
      </c>
      <c r="K50" t="s">
        <v>436</v>
      </c>
      <c r="L50">
        <v>60</v>
      </c>
      <c r="M50" t="s">
        <v>439</v>
      </c>
    </row>
    <row r="51" spans="1:13" x14ac:dyDescent="0.45">
      <c r="A51" t="s">
        <v>82</v>
      </c>
      <c r="B51" t="s">
        <v>10</v>
      </c>
      <c r="C51" t="s">
        <v>23</v>
      </c>
      <c r="D51" t="s">
        <v>20</v>
      </c>
      <c r="E51" t="s">
        <v>13</v>
      </c>
      <c r="F51">
        <v>72</v>
      </c>
      <c r="G51" t="s">
        <v>438</v>
      </c>
      <c r="H51" s="1">
        <v>219</v>
      </c>
      <c r="I51" s="1" t="s">
        <v>434</v>
      </c>
      <c r="J51">
        <v>1</v>
      </c>
      <c r="K51" t="s">
        <v>464</v>
      </c>
      <c r="L51">
        <v>54</v>
      </c>
      <c r="M51" t="s">
        <v>439</v>
      </c>
    </row>
    <row r="52" spans="1:13" x14ac:dyDescent="0.45">
      <c r="A52" t="s">
        <v>83</v>
      </c>
      <c r="B52" t="s">
        <v>10</v>
      </c>
      <c r="C52" t="s">
        <v>40</v>
      </c>
      <c r="D52" t="s">
        <v>20</v>
      </c>
      <c r="E52" t="s">
        <v>17</v>
      </c>
      <c r="F52">
        <v>48</v>
      </c>
      <c r="G52" t="s">
        <v>441</v>
      </c>
      <c r="H52" s="1">
        <v>1713</v>
      </c>
      <c r="I52" s="1" t="s">
        <v>434</v>
      </c>
      <c r="J52">
        <v>4</v>
      </c>
      <c r="K52" t="s">
        <v>436</v>
      </c>
      <c r="L52">
        <v>58</v>
      </c>
      <c r="M52" t="s">
        <v>439</v>
      </c>
    </row>
    <row r="53" spans="1:13" x14ac:dyDescent="0.45">
      <c r="A53" t="s">
        <v>84</v>
      </c>
      <c r="B53" t="s">
        <v>15</v>
      </c>
      <c r="C53" t="s">
        <v>26</v>
      </c>
      <c r="D53" t="s">
        <v>29</v>
      </c>
      <c r="E53" t="s">
        <v>13</v>
      </c>
      <c r="F53">
        <v>6</v>
      </c>
      <c r="G53" t="s">
        <v>449</v>
      </c>
      <c r="H53" s="1">
        <v>3931</v>
      </c>
      <c r="I53" s="1" t="s">
        <v>437</v>
      </c>
      <c r="J53">
        <v>5</v>
      </c>
      <c r="K53" t="s">
        <v>436</v>
      </c>
      <c r="L53">
        <v>93</v>
      </c>
      <c r="M53" t="s">
        <v>433</v>
      </c>
    </row>
    <row r="54" spans="1:13" x14ac:dyDescent="0.45">
      <c r="A54" t="s">
        <v>85</v>
      </c>
      <c r="B54" t="s">
        <v>22</v>
      </c>
      <c r="C54" t="s">
        <v>11</v>
      </c>
      <c r="D54" t="s">
        <v>29</v>
      </c>
      <c r="E54" t="s">
        <v>13</v>
      </c>
      <c r="F54">
        <v>53</v>
      </c>
      <c r="G54" t="s">
        <v>441</v>
      </c>
      <c r="H54" s="1">
        <v>15168</v>
      </c>
      <c r="I54" s="1" t="s">
        <v>444</v>
      </c>
      <c r="J54">
        <v>7</v>
      </c>
      <c r="K54" t="s">
        <v>440</v>
      </c>
      <c r="L54">
        <v>65</v>
      </c>
      <c r="M54" t="s">
        <v>439</v>
      </c>
    </row>
    <row r="55" spans="1:13" x14ac:dyDescent="0.45">
      <c r="A55" t="s">
        <v>86</v>
      </c>
      <c r="B55" t="s">
        <v>49</v>
      </c>
      <c r="C55" t="s">
        <v>40</v>
      </c>
      <c r="D55" t="s">
        <v>42</v>
      </c>
      <c r="E55" t="s">
        <v>13</v>
      </c>
      <c r="F55">
        <v>4</v>
      </c>
      <c r="G55" t="s">
        <v>450</v>
      </c>
      <c r="H55" s="1">
        <v>1969</v>
      </c>
      <c r="I55" s="1" t="s">
        <v>434</v>
      </c>
      <c r="J55">
        <v>3</v>
      </c>
      <c r="K55" t="s">
        <v>464</v>
      </c>
      <c r="L55">
        <v>100</v>
      </c>
      <c r="M55" t="s">
        <v>433</v>
      </c>
    </row>
    <row r="56" spans="1:13" x14ac:dyDescent="0.45">
      <c r="A56" t="s">
        <v>87</v>
      </c>
      <c r="B56" t="s">
        <v>25</v>
      </c>
      <c r="C56" t="s">
        <v>40</v>
      </c>
      <c r="D56" t="s">
        <v>27</v>
      </c>
      <c r="E56" t="s">
        <v>17</v>
      </c>
      <c r="F56">
        <v>90</v>
      </c>
      <c r="G56" t="s">
        <v>438</v>
      </c>
      <c r="H56" s="1">
        <v>1385</v>
      </c>
      <c r="I56" s="1" t="s">
        <v>434</v>
      </c>
      <c r="J56">
        <v>4</v>
      </c>
      <c r="K56" t="s">
        <v>436</v>
      </c>
      <c r="L56">
        <v>52</v>
      </c>
      <c r="M56" t="s">
        <v>439</v>
      </c>
    </row>
    <row r="57" spans="1:13" x14ac:dyDescent="0.45">
      <c r="A57" t="s">
        <v>88</v>
      </c>
      <c r="B57" t="s">
        <v>49</v>
      </c>
      <c r="C57" t="s">
        <v>23</v>
      </c>
      <c r="D57" t="s">
        <v>60</v>
      </c>
      <c r="E57" t="s">
        <v>17</v>
      </c>
      <c r="F57">
        <v>59</v>
      </c>
      <c r="G57" t="s">
        <v>441</v>
      </c>
      <c r="H57" s="1">
        <v>916</v>
      </c>
      <c r="I57" s="1" t="s">
        <v>434</v>
      </c>
      <c r="J57">
        <v>2</v>
      </c>
      <c r="K57" t="s">
        <v>464</v>
      </c>
      <c r="L57">
        <v>100</v>
      </c>
      <c r="M57" t="s">
        <v>433</v>
      </c>
    </row>
    <row r="58" spans="1:13" x14ac:dyDescent="0.45">
      <c r="A58" t="s">
        <v>89</v>
      </c>
      <c r="B58" t="s">
        <v>49</v>
      </c>
      <c r="C58" t="s">
        <v>40</v>
      </c>
      <c r="D58" t="s">
        <v>60</v>
      </c>
      <c r="E58" t="s">
        <v>17</v>
      </c>
      <c r="F58">
        <v>25</v>
      </c>
      <c r="G58" t="s">
        <v>435</v>
      </c>
      <c r="H58" s="1">
        <v>3764</v>
      </c>
      <c r="I58" s="1" t="s">
        <v>437</v>
      </c>
      <c r="J58">
        <v>3</v>
      </c>
      <c r="K58" t="s">
        <v>464</v>
      </c>
      <c r="L58">
        <v>67</v>
      </c>
      <c r="M58" t="s">
        <v>439</v>
      </c>
    </row>
    <row r="59" spans="1:13" x14ac:dyDescent="0.45">
      <c r="A59" t="s">
        <v>90</v>
      </c>
      <c r="B59" t="s">
        <v>49</v>
      </c>
      <c r="C59" t="s">
        <v>11</v>
      </c>
      <c r="D59" t="s">
        <v>27</v>
      </c>
      <c r="E59" t="s">
        <v>17</v>
      </c>
      <c r="F59">
        <v>66</v>
      </c>
      <c r="G59" t="s">
        <v>438</v>
      </c>
      <c r="H59" s="1">
        <v>11548</v>
      </c>
      <c r="I59" s="1" t="s">
        <v>451</v>
      </c>
      <c r="J59">
        <v>15</v>
      </c>
      <c r="K59" t="s">
        <v>463</v>
      </c>
      <c r="L59">
        <v>84</v>
      </c>
      <c r="M59" t="s">
        <v>442</v>
      </c>
    </row>
    <row r="60" spans="1:13" x14ac:dyDescent="0.45">
      <c r="A60" t="s">
        <v>91</v>
      </c>
      <c r="B60" t="s">
        <v>44</v>
      </c>
      <c r="C60" t="s">
        <v>11</v>
      </c>
      <c r="D60" t="s">
        <v>31</v>
      </c>
      <c r="E60" t="s">
        <v>13</v>
      </c>
      <c r="F60">
        <v>34</v>
      </c>
      <c r="G60" t="s">
        <v>446</v>
      </c>
      <c r="H60" s="1">
        <v>7925</v>
      </c>
      <c r="I60" s="1" t="s">
        <v>448</v>
      </c>
      <c r="J60">
        <v>14</v>
      </c>
      <c r="K60" t="s">
        <v>463</v>
      </c>
      <c r="L60">
        <v>66</v>
      </c>
      <c r="M60" t="s">
        <v>442</v>
      </c>
    </row>
    <row r="61" spans="1:13" x14ac:dyDescent="0.45">
      <c r="A61" t="s">
        <v>92</v>
      </c>
      <c r="B61" t="s">
        <v>15</v>
      </c>
      <c r="C61" t="s">
        <v>11</v>
      </c>
      <c r="D61" t="s">
        <v>16</v>
      </c>
      <c r="E61" t="s">
        <v>17</v>
      </c>
      <c r="F61">
        <v>41</v>
      </c>
      <c r="G61" t="s">
        <v>446</v>
      </c>
      <c r="H61" s="1">
        <v>12149</v>
      </c>
      <c r="I61" s="1" t="s">
        <v>451</v>
      </c>
      <c r="J61">
        <v>14</v>
      </c>
      <c r="K61" t="s">
        <v>463</v>
      </c>
      <c r="L61">
        <v>82</v>
      </c>
      <c r="M61" t="s">
        <v>442</v>
      </c>
    </row>
    <row r="62" spans="1:13" x14ac:dyDescent="0.45">
      <c r="A62" t="s">
        <v>93</v>
      </c>
      <c r="B62" t="s">
        <v>15</v>
      </c>
      <c r="C62" t="s">
        <v>23</v>
      </c>
      <c r="D62" t="s">
        <v>16</v>
      </c>
      <c r="E62" t="s">
        <v>17</v>
      </c>
      <c r="F62">
        <v>6</v>
      </c>
      <c r="G62" t="s">
        <v>449</v>
      </c>
      <c r="H62" s="1">
        <v>1651</v>
      </c>
      <c r="I62" s="1" t="s">
        <v>434</v>
      </c>
      <c r="J62">
        <v>2</v>
      </c>
      <c r="K62" t="s">
        <v>464</v>
      </c>
      <c r="L62">
        <v>50</v>
      </c>
      <c r="M62" t="s">
        <v>439</v>
      </c>
    </row>
    <row r="63" spans="1:13" x14ac:dyDescent="0.45">
      <c r="A63" t="s">
        <v>94</v>
      </c>
      <c r="B63" t="s">
        <v>19</v>
      </c>
      <c r="C63" t="s">
        <v>40</v>
      </c>
      <c r="D63" t="s">
        <v>29</v>
      </c>
      <c r="E63" t="s">
        <v>17</v>
      </c>
      <c r="F63">
        <v>86</v>
      </c>
      <c r="G63" t="s">
        <v>438</v>
      </c>
      <c r="H63" s="1">
        <v>3204</v>
      </c>
      <c r="I63" s="1" t="s">
        <v>437</v>
      </c>
      <c r="J63">
        <v>5</v>
      </c>
      <c r="K63" t="s">
        <v>436</v>
      </c>
      <c r="L63">
        <v>70</v>
      </c>
      <c r="M63" t="s">
        <v>445</v>
      </c>
    </row>
    <row r="64" spans="1:13" x14ac:dyDescent="0.45">
      <c r="A64" t="s">
        <v>95</v>
      </c>
      <c r="B64" t="s">
        <v>10</v>
      </c>
      <c r="C64" t="s">
        <v>11</v>
      </c>
      <c r="D64" t="s">
        <v>27</v>
      </c>
      <c r="E64" t="s">
        <v>13</v>
      </c>
      <c r="F64">
        <v>86</v>
      </c>
      <c r="G64" t="s">
        <v>438</v>
      </c>
      <c r="H64" s="1">
        <v>11691</v>
      </c>
      <c r="I64" s="1" t="s">
        <v>451</v>
      </c>
      <c r="J64">
        <v>10</v>
      </c>
      <c r="K64" t="s">
        <v>443</v>
      </c>
      <c r="L64">
        <v>75</v>
      </c>
      <c r="M64" t="s">
        <v>439</v>
      </c>
    </row>
    <row r="65" spans="1:13" x14ac:dyDescent="0.45">
      <c r="A65" t="s">
        <v>96</v>
      </c>
      <c r="B65" t="s">
        <v>10</v>
      </c>
      <c r="C65" t="s">
        <v>26</v>
      </c>
      <c r="D65" t="s">
        <v>20</v>
      </c>
      <c r="E65" t="s">
        <v>17</v>
      </c>
      <c r="F65">
        <v>54</v>
      </c>
      <c r="G65" t="s">
        <v>441</v>
      </c>
      <c r="H65" s="1">
        <v>6447</v>
      </c>
      <c r="I65" s="1" t="s">
        <v>437</v>
      </c>
      <c r="J65">
        <v>8</v>
      </c>
      <c r="K65" t="s">
        <v>440</v>
      </c>
      <c r="L65">
        <v>93</v>
      </c>
      <c r="M65" t="s">
        <v>445</v>
      </c>
    </row>
    <row r="66" spans="1:13" x14ac:dyDescent="0.45">
      <c r="A66" t="s">
        <v>97</v>
      </c>
      <c r="B66" t="s">
        <v>10</v>
      </c>
      <c r="C66" t="s">
        <v>40</v>
      </c>
      <c r="D66" t="s">
        <v>16</v>
      </c>
      <c r="E66" t="s">
        <v>13</v>
      </c>
      <c r="F66">
        <v>52</v>
      </c>
      <c r="G66" t="s">
        <v>441</v>
      </c>
      <c r="H66" s="1">
        <v>4988</v>
      </c>
      <c r="I66" s="1" t="s">
        <v>437</v>
      </c>
      <c r="J66">
        <v>1</v>
      </c>
      <c r="K66" t="s">
        <v>464</v>
      </c>
      <c r="L66">
        <v>69</v>
      </c>
      <c r="M66" t="s">
        <v>439</v>
      </c>
    </row>
    <row r="67" spans="1:13" x14ac:dyDescent="0.45">
      <c r="A67" t="s">
        <v>98</v>
      </c>
      <c r="B67" t="s">
        <v>44</v>
      </c>
      <c r="C67" t="s">
        <v>40</v>
      </c>
      <c r="D67" t="s">
        <v>47</v>
      </c>
      <c r="E67" t="s">
        <v>13</v>
      </c>
      <c r="F67">
        <v>78</v>
      </c>
      <c r="G67" t="s">
        <v>438</v>
      </c>
      <c r="H67" s="1">
        <v>3139</v>
      </c>
      <c r="I67" s="1" t="s">
        <v>437</v>
      </c>
      <c r="J67">
        <v>4</v>
      </c>
      <c r="K67" t="s">
        <v>436</v>
      </c>
      <c r="L67">
        <v>78</v>
      </c>
      <c r="M67" t="s">
        <v>445</v>
      </c>
    </row>
    <row r="68" spans="1:13" x14ac:dyDescent="0.45">
      <c r="A68" t="s">
        <v>99</v>
      </c>
      <c r="B68" t="s">
        <v>25</v>
      </c>
      <c r="C68" t="s">
        <v>40</v>
      </c>
      <c r="D68" t="s">
        <v>20</v>
      </c>
      <c r="E68" t="s">
        <v>17</v>
      </c>
      <c r="F68">
        <v>22</v>
      </c>
      <c r="G68" t="s">
        <v>435</v>
      </c>
      <c r="H68" s="1">
        <v>1194</v>
      </c>
      <c r="I68" s="1" t="s">
        <v>434</v>
      </c>
      <c r="J68">
        <v>3</v>
      </c>
      <c r="K68" t="s">
        <v>464</v>
      </c>
      <c r="L68">
        <v>82</v>
      </c>
      <c r="M68" t="s">
        <v>445</v>
      </c>
    </row>
    <row r="69" spans="1:13" x14ac:dyDescent="0.45">
      <c r="A69" t="s">
        <v>100</v>
      </c>
      <c r="B69" t="s">
        <v>10</v>
      </c>
      <c r="C69" t="s">
        <v>26</v>
      </c>
      <c r="D69" t="s">
        <v>31</v>
      </c>
      <c r="E69" t="s">
        <v>13</v>
      </c>
      <c r="F69">
        <v>31</v>
      </c>
      <c r="G69" t="s">
        <v>446</v>
      </c>
      <c r="H69" s="1">
        <v>6511</v>
      </c>
      <c r="I69" s="1" t="s">
        <v>437</v>
      </c>
      <c r="J69">
        <v>6</v>
      </c>
      <c r="K69" t="s">
        <v>436</v>
      </c>
      <c r="L69">
        <v>64</v>
      </c>
      <c r="M69" t="s">
        <v>439</v>
      </c>
    </row>
    <row r="70" spans="1:13" x14ac:dyDescent="0.45">
      <c r="A70" t="s">
        <v>101</v>
      </c>
      <c r="B70" t="s">
        <v>49</v>
      </c>
      <c r="C70" t="s">
        <v>40</v>
      </c>
      <c r="D70" t="s">
        <v>42</v>
      </c>
      <c r="E70" t="s">
        <v>17</v>
      </c>
      <c r="F70">
        <v>32</v>
      </c>
      <c r="G70" t="s">
        <v>446</v>
      </c>
      <c r="H70" s="1">
        <v>4392</v>
      </c>
      <c r="I70" s="1" t="s">
        <v>437</v>
      </c>
      <c r="J70">
        <v>5</v>
      </c>
      <c r="K70" t="s">
        <v>436</v>
      </c>
      <c r="L70">
        <v>99</v>
      </c>
      <c r="M70" t="s">
        <v>433</v>
      </c>
    </row>
    <row r="71" spans="1:13" x14ac:dyDescent="0.45">
      <c r="A71" t="s">
        <v>102</v>
      </c>
      <c r="B71" t="s">
        <v>15</v>
      </c>
      <c r="C71" t="s">
        <v>23</v>
      </c>
      <c r="D71" t="s">
        <v>47</v>
      </c>
      <c r="E71" t="s">
        <v>13</v>
      </c>
      <c r="F71">
        <v>74</v>
      </c>
      <c r="G71" t="s">
        <v>438</v>
      </c>
      <c r="H71" s="1">
        <v>598</v>
      </c>
      <c r="I71" s="1" t="s">
        <v>434</v>
      </c>
      <c r="J71">
        <v>3</v>
      </c>
      <c r="K71" t="s">
        <v>464</v>
      </c>
      <c r="L71">
        <v>94</v>
      </c>
      <c r="M71" t="s">
        <v>433</v>
      </c>
    </row>
    <row r="72" spans="1:13" x14ac:dyDescent="0.45">
      <c r="A72" t="s">
        <v>103</v>
      </c>
      <c r="B72" t="s">
        <v>25</v>
      </c>
      <c r="C72" t="s">
        <v>23</v>
      </c>
      <c r="D72" t="s">
        <v>47</v>
      </c>
      <c r="E72" t="s">
        <v>17</v>
      </c>
      <c r="F72">
        <v>84</v>
      </c>
      <c r="G72" t="s">
        <v>438</v>
      </c>
      <c r="H72" s="1">
        <v>1608</v>
      </c>
      <c r="I72" s="1" t="s">
        <v>434</v>
      </c>
      <c r="J72">
        <v>1</v>
      </c>
      <c r="K72" t="s">
        <v>464</v>
      </c>
      <c r="L72">
        <v>98</v>
      </c>
      <c r="M72" t="s">
        <v>433</v>
      </c>
    </row>
    <row r="73" spans="1:13" x14ac:dyDescent="0.45">
      <c r="A73" t="s">
        <v>104</v>
      </c>
      <c r="B73" t="s">
        <v>49</v>
      </c>
      <c r="C73" t="s">
        <v>11</v>
      </c>
      <c r="D73" t="s">
        <v>47</v>
      </c>
      <c r="E73" t="s">
        <v>17</v>
      </c>
      <c r="F73">
        <v>90</v>
      </c>
      <c r="G73" t="s">
        <v>438</v>
      </c>
      <c r="H73" s="1">
        <v>13486</v>
      </c>
      <c r="I73" s="1" t="s">
        <v>451</v>
      </c>
      <c r="J73">
        <v>12</v>
      </c>
      <c r="K73" t="s">
        <v>443</v>
      </c>
      <c r="L73">
        <v>53</v>
      </c>
      <c r="M73" t="s">
        <v>439</v>
      </c>
    </row>
    <row r="74" spans="1:13" x14ac:dyDescent="0.45">
      <c r="A74" t="s">
        <v>105</v>
      </c>
      <c r="B74" t="s">
        <v>19</v>
      </c>
      <c r="C74" t="s">
        <v>40</v>
      </c>
      <c r="D74" t="s">
        <v>31</v>
      </c>
      <c r="E74" t="s">
        <v>17</v>
      </c>
      <c r="F74">
        <v>60</v>
      </c>
      <c r="G74" t="s">
        <v>441</v>
      </c>
      <c r="H74" s="1">
        <v>4851</v>
      </c>
      <c r="I74" s="1" t="s">
        <v>437</v>
      </c>
      <c r="J74">
        <v>5</v>
      </c>
      <c r="K74" t="s">
        <v>436</v>
      </c>
      <c r="L74">
        <v>88</v>
      </c>
      <c r="M74" t="s">
        <v>433</v>
      </c>
    </row>
    <row r="75" spans="1:13" x14ac:dyDescent="0.45">
      <c r="A75" t="s">
        <v>106</v>
      </c>
      <c r="B75" t="s">
        <v>44</v>
      </c>
      <c r="C75" t="s">
        <v>23</v>
      </c>
      <c r="D75" t="s">
        <v>16</v>
      </c>
      <c r="E75" t="s">
        <v>13</v>
      </c>
      <c r="F75">
        <v>65</v>
      </c>
      <c r="G75" t="s">
        <v>438</v>
      </c>
      <c r="H75" s="1">
        <v>1073</v>
      </c>
      <c r="I75" s="1" t="s">
        <v>434</v>
      </c>
      <c r="J75">
        <v>3</v>
      </c>
      <c r="K75" t="s">
        <v>464</v>
      </c>
      <c r="L75">
        <v>78</v>
      </c>
      <c r="M75" t="s">
        <v>445</v>
      </c>
    </row>
    <row r="76" spans="1:13" x14ac:dyDescent="0.45">
      <c r="A76" t="s">
        <v>107</v>
      </c>
      <c r="B76" t="s">
        <v>22</v>
      </c>
      <c r="C76" t="s">
        <v>23</v>
      </c>
      <c r="D76" t="s">
        <v>34</v>
      </c>
      <c r="E76" t="s">
        <v>17</v>
      </c>
      <c r="F76">
        <v>32</v>
      </c>
      <c r="G76" t="s">
        <v>446</v>
      </c>
      <c r="H76" s="1">
        <v>1920</v>
      </c>
      <c r="I76" s="1" t="s">
        <v>434</v>
      </c>
      <c r="J76">
        <v>3</v>
      </c>
      <c r="K76" t="s">
        <v>464</v>
      </c>
      <c r="L76">
        <v>67</v>
      </c>
      <c r="M76" t="s">
        <v>439</v>
      </c>
    </row>
    <row r="77" spans="1:13" x14ac:dyDescent="0.45">
      <c r="A77" t="s">
        <v>108</v>
      </c>
      <c r="B77" t="s">
        <v>49</v>
      </c>
      <c r="C77" t="s">
        <v>23</v>
      </c>
      <c r="D77" t="s">
        <v>60</v>
      </c>
      <c r="E77" t="s">
        <v>17</v>
      </c>
      <c r="F77">
        <v>10</v>
      </c>
      <c r="G77" t="s">
        <v>449</v>
      </c>
      <c r="H77" s="1">
        <v>1661</v>
      </c>
      <c r="I77" s="1" t="s">
        <v>434</v>
      </c>
      <c r="J77">
        <v>2</v>
      </c>
      <c r="K77" t="s">
        <v>464</v>
      </c>
      <c r="L77">
        <v>65</v>
      </c>
      <c r="M77" t="s">
        <v>439</v>
      </c>
    </row>
    <row r="78" spans="1:13" x14ac:dyDescent="0.45">
      <c r="A78" t="s">
        <v>109</v>
      </c>
      <c r="B78" t="s">
        <v>44</v>
      </c>
      <c r="C78" t="s">
        <v>26</v>
      </c>
      <c r="D78" t="s">
        <v>29</v>
      </c>
      <c r="E78" t="s">
        <v>13</v>
      </c>
      <c r="F78">
        <v>11</v>
      </c>
      <c r="G78" t="s">
        <v>449</v>
      </c>
      <c r="H78" s="1">
        <v>2133</v>
      </c>
      <c r="I78" s="1" t="s">
        <v>434</v>
      </c>
      <c r="J78">
        <v>4</v>
      </c>
      <c r="K78" t="s">
        <v>436</v>
      </c>
      <c r="L78">
        <v>64</v>
      </c>
      <c r="M78" t="s">
        <v>439</v>
      </c>
    </row>
    <row r="79" spans="1:13" x14ac:dyDescent="0.45">
      <c r="A79" t="s">
        <v>110</v>
      </c>
      <c r="B79" t="s">
        <v>25</v>
      </c>
      <c r="C79" t="s">
        <v>40</v>
      </c>
      <c r="D79" t="s">
        <v>60</v>
      </c>
      <c r="E79" t="s">
        <v>17</v>
      </c>
      <c r="F79">
        <v>53</v>
      </c>
      <c r="G79" t="s">
        <v>441</v>
      </c>
      <c r="H79" s="1">
        <v>3210</v>
      </c>
      <c r="I79" s="1" t="s">
        <v>437</v>
      </c>
      <c r="J79">
        <v>5</v>
      </c>
      <c r="K79" t="s">
        <v>436</v>
      </c>
      <c r="L79">
        <v>79</v>
      </c>
      <c r="M79" t="s">
        <v>445</v>
      </c>
    </row>
    <row r="80" spans="1:13" x14ac:dyDescent="0.45">
      <c r="A80" t="s">
        <v>111</v>
      </c>
      <c r="B80" t="s">
        <v>25</v>
      </c>
      <c r="C80" t="s">
        <v>11</v>
      </c>
      <c r="D80" t="s">
        <v>60</v>
      </c>
      <c r="E80" t="s">
        <v>13</v>
      </c>
      <c r="F80">
        <v>50</v>
      </c>
      <c r="G80" t="s">
        <v>441</v>
      </c>
      <c r="H80" s="1">
        <v>19824</v>
      </c>
      <c r="I80" s="1" t="s">
        <v>444</v>
      </c>
      <c r="J80">
        <v>14</v>
      </c>
      <c r="K80" t="s">
        <v>463</v>
      </c>
      <c r="L80">
        <v>94</v>
      </c>
      <c r="M80" t="s">
        <v>442</v>
      </c>
    </row>
    <row r="81" spans="1:13" x14ac:dyDescent="0.45">
      <c r="A81" t="s">
        <v>112</v>
      </c>
      <c r="B81" t="s">
        <v>15</v>
      </c>
      <c r="C81" t="s">
        <v>23</v>
      </c>
      <c r="D81" t="s">
        <v>34</v>
      </c>
      <c r="E81" t="s">
        <v>17</v>
      </c>
      <c r="F81">
        <v>46</v>
      </c>
      <c r="G81" t="s">
        <v>441</v>
      </c>
      <c r="H81" s="1">
        <v>811</v>
      </c>
      <c r="I81" s="1" t="s">
        <v>434</v>
      </c>
      <c r="J81">
        <v>2</v>
      </c>
      <c r="K81" t="s">
        <v>464</v>
      </c>
      <c r="L81">
        <v>76</v>
      </c>
      <c r="M81" t="s">
        <v>445</v>
      </c>
    </row>
    <row r="82" spans="1:13" x14ac:dyDescent="0.45">
      <c r="A82" t="s">
        <v>113</v>
      </c>
      <c r="B82" t="s">
        <v>19</v>
      </c>
      <c r="C82" t="s">
        <v>40</v>
      </c>
      <c r="D82" t="s">
        <v>34</v>
      </c>
      <c r="E82" t="s">
        <v>17</v>
      </c>
      <c r="F82">
        <v>56</v>
      </c>
      <c r="G82" t="s">
        <v>441</v>
      </c>
      <c r="H82" s="1">
        <v>4478</v>
      </c>
      <c r="I82" s="1" t="s">
        <v>437</v>
      </c>
      <c r="J82">
        <v>1</v>
      </c>
      <c r="K82" t="s">
        <v>464</v>
      </c>
      <c r="L82">
        <v>74</v>
      </c>
      <c r="M82" t="s">
        <v>445</v>
      </c>
    </row>
    <row r="83" spans="1:13" x14ac:dyDescent="0.45">
      <c r="A83" t="s">
        <v>114</v>
      </c>
      <c r="B83" t="s">
        <v>44</v>
      </c>
      <c r="C83" t="s">
        <v>23</v>
      </c>
      <c r="D83" t="s">
        <v>42</v>
      </c>
      <c r="E83" t="s">
        <v>13</v>
      </c>
      <c r="F83">
        <v>17</v>
      </c>
      <c r="G83" t="s">
        <v>447</v>
      </c>
      <c r="H83" s="1">
        <v>1474</v>
      </c>
      <c r="I83" s="1" t="s">
        <v>434</v>
      </c>
      <c r="J83">
        <v>3</v>
      </c>
      <c r="K83" t="s">
        <v>464</v>
      </c>
      <c r="L83">
        <v>51</v>
      </c>
      <c r="M83" t="s">
        <v>439</v>
      </c>
    </row>
    <row r="84" spans="1:13" x14ac:dyDescent="0.45">
      <c r="A84" t="s">
        <v>115</v>
      </c>
      <c r="B84" t="s">
        <v>25</v>
      </c>
      <c r="C84" t="s">
        <v>11</v>
      </c>
      <c r="D84" t="s">
        <v>31</v>
      </c>
      <c r="E84" t="s">
        <v>13</v>
      </c>
      <c r="F84">
        <v>18</v>
      </c>
      <c r="G84" t="s">
        <v>447</v>
      </c>
      <c r="H84" s="1">
        <v>19202</v>
      </c>
      <c r="I84" s="1" t="s">
        <v>444</v>
      </c>
      <c r="J84">
        <v>12</v>
      </c>
      <c r="K84" t="s">
        <v>443</v>
      </c>
      <c r="L84">
        <v>61</v>
      </c>
      <c r="M84" t="s">
        <v>439</v>
      </c>
    </row>
    <row r="85" spans="1:13" x14ac:dyDescent="0.45">
      <c r="A85" t="s">
        <v>116</v>
      </c>
      <c r="B85" t="s">
        <v>15</v>
      </c>
      <c r="C85" t="s">
        <v>26</v>
      </c>
      <c r="D85" t="s">
        <v>47</v>
      </c>
      <c r="E85" t="s">
        <v>17</v>
      </c>
      <c r="F85">
        <v>59</v>
      </c>
      <c r="G85" t="s">
        <v>441</v>
      </c>
      <c r="H85" s="1">
        <v>3677</v>
      </c>
      <c r="I85" s="1" t="s">
        <v>437</v>
      </c>
      <c r="J85">
        <v>7</v>
      </c>
      <c r="K85" t="s">
        <v>440</v>
      </c>
      <c r="L85">
        <v>98</v>
      </c>
      <c r="M85" t="s">
        <v>445</v>
      </c>
    </row>
    <row r="86" spans="1:13" x14ac:dyDescent="0.45">
      <c r="A86" t="s">
        <v>117</v>
      </c>
      <c r="B86" t="s">
        <v>25</v>
      </c>
      <c r="C86" t="s">
        <v>26</v>
      </c>
      <c r="D86" t="s">
        <v>47</v>
      </c>
      <c r="E86" t="s">
        <v>17</v>
      </c>
      <c r="F86">
        <v>11</v>
      </c>
      <c r="G86" t="s">
        <v>449</v>
      </c>
      <c r="H86" s="1">
        <v>4852</v>
      </c>
      <c r="I86" s="1" t="s">
        <v>437</v>
      </c>
      <c r="J86">
        <v>2</v>
      </c>
      <c r="K86" t="s">
        <v>464</v>
      </c>
      <c r="L86">
        <v>97</v>
      </c>
      <c r="M86" t="s">
        <v>433</v>
      </c>
    </row>
    <row r="87" spans="1:13" x14ac:dyDescent="0.45">
      <c r="A87" t="s">
        <v>118</v>
      </c>
      <c r="B87" t="s">
        <v>19</v>
      </c>
      <c r="C87" t="s">
        <v>11</v>
      </c>
      <c r="D87" t="s">
        <v>29</v>
      </c>
      <c r="E87" t="s">
        <v>17</v>
      </c>
      <c r="F87">
        <v>9</v>
      </c>
      <c r="G87" t="s">
        <v>449</v>
      </c>
      <c r="H87" s="1">
        <v>17799</v>
      </c>
      <c r="I87" s="1" t="s">
        <v>444</v>
      </c>
      <c r="J87">
        <v>15</v>
      </c>
      <c r="K87" t="s">
        <v>463</v>
      </c>
      <c r="L87">
        <v>52</v>
      </c>
      <c r="M87" t="s">
        <v>442</v>
      </c>
    </row>
    <row r="88" spans="1:13" s="2" customFormat="1" x14ac:dyDescent="0.45">
      <c r="A88" s="2" t="s">
        <v>119</v>
      </c>
      <c r="B88" s="2" t="s">
        <v>49</v>
      </c>
      <c r="C88" s="2" t="s">
        <v>11</v>
      </c>
      <c r="D88" s="2" t="s">
        <v>60</v>
      </c>
      <c r="E88" s="2" t="s">
        <v>17</v>
      </c>
      <c r="F88" s="2">
        <v>3</v>
      </c>
      <c r="G88" s="2" t="s">
        <v>450</v>
      </c>
      <c r="H88" s="3">
        <v>15179</v>
      </c>
      <c r="I88" s="3" t="s">
        <v>444</v>
      </c>
      <c r="J88" s="2">
        <v>7</v>
      </c>
      <c r="K88" s="2" t="s">
        <v>440</v>
      </c>
      <c r="L88" s="2">
        <v>65</v>
      </c>
      <c r="M88" s="2" t="s">
        <v>439</v>
      </c>
    </row>
    <row r="89" spans="1:13" x14ac:dyDescent="0.45">
      <c r="A89" t="s">
        <v>120</v>
      </c>
      <c r="B89" t="s">
        <v>22</v>
      </c>
      <c r="C89" t="s">
        <v>23</v>
      </c>
      <c r="D89" t="s">
        <v>31</v>
      </c>
      <c r="E89" t="s">
        <v>13</v>
      </c>
      <c r="F89">
        <v>28</v>
      </c>
      <c r="G89" t="s">
        <v>435</v>
      </c>
      <c r="H89" s="1">
        <v>1152</v>
      </c>
      <c r="I89" s="1" t="s">
        <v>434</v>
      </c>
      <c r="J89">
        <v>3</v>
      </c>
      <c r="K89" t="s">
        <v>464</v>
      </c>
      <c r="L89">
        <v>66</v>
      </c>
      <c r="M89" t="s">
        <v>439</v>
      </c>
    </row>
    <row r="90" spans="1:13" x14ac:dyDescent="0.45">
      <c r="A90" t="s">
        <v>121</v>
      </c>
      <c r="B90" t="s">
        <v>49</v>
      </c>
      <c r="C90" t="s">
        <v>26</v>
      </c>
      <c r="D90" t="s">
        <v>42</v>
      </c>
      <c r="E90" t="s">
        <v>13</v>
      </c>
      <c r="F90">
        <v>15</v>
      </c>
      <c r="G90" t="s">
        <v>447</v>
      </c>
      <c r="H90" s="1">
        <v>2341</v>
      </c>
      <c r="I90" s="1" t="s">
        <v>434</v>
      </c>
      <c r="J90">
        <v>6</v>
      </c>
      <c r="K90" t="s">
        <v>436</v>
      </c>
      <c r="L90">
        <v>56</v>
      </c>
      <c r="M90" t="s">
        <v>439</v>
      </c>
    </row>
    <row r="91" spans="1:13" x14ac:dyDescent="0.45">
      <c r="A91" t="s">
        <v>122</v>
      </c>
      <c r="B91" t="s">
        <v>19</v>
      </c>
      <c r="C91" t="s">
        <v>11</v>
      </c>
      <c r="D91" t="s">
        <v>27</v>
      </c>
      <c r="E91" t="s">
        <v>13</v>
      </c>
      <c r="F91">
        <v>49</v>
      </c>
      <c r="G91" t="s">
        <v>441</v>
      </c>
      <c r="H91" s="1">
        <v>11498</v>
      </c>
      <c r="I91" s="1" t="s">
        <v>451</v>
      </c>
      <c r="J91">
        <v>8</v>
      </c>
      <c r="K91" t="s">
        <v>440</v>
      </c>
      <c r="L91">
        <v>54</v>
      </c>
      <c r="M91" t="s">
        <v>439</v>
      </c>
    </row>
    <row r="92" spans="1:13" x14ac:dyDescent="0.45">
      <c r="A92" t="s">
        <v>123</v>
      </c>
      <c r="B92" t="s">
        <v>19</v>
      </c>
      <c r="C92" t="s">
        <v>40</v>
      </c>
      <c r="D92" t="s">
        <v>31</v>
      </c>
      <c r="E92" t="s">
        <v>13</v>
      </c>
      <c r="F92">
        <v>39</v>
      </c>
      <c r="G92" t="s">
        <v>446</v>
      </c>
      <c r="H92" s="1">
        <v>1491</v>
      </c>
      <c r="I92" s="1" t="s">
        <v>434</v>
      </c>
      <c r="J92">
        <v>5</v>
      </c>
      <c r="K92" t="s">
        <v>436</v>
      </c>
      <c r="L92">
        <v>100</v>
      </c>
      <c r="M92" t="s">
        <v>433</v>
      </c>
    </row>
    <row r="93" spans="1:13" x14ac:dyDescent="0.45">
      <c r="A93" t="s">
        <v>124</v>
      </c>
      <c r="B93" t="s">
        <v>15</v>
      </c>
      <c r="C93" t="s">
        <v>26</v>
      </c>
      <c r="D93" t="s">
        <v>20</v>
      </c>
      <c r="E93" t="s">
        <v>17</v>
      </c>
      <c r="F93">
        <v>48</v>
      </c>
      <c r="G93" t="s">
        <v>441</v>
      </c>
      <c r="H93" s="1">
        <v>1564</v>
      </c>
      <c r="I93" s="1" t="s">
        <v>434</v>
      </c>
      <c r="J93">
        <v>10</v>
      </c>
      <c r="K93" t="s">
        <v>443</v>
      </c>
      <c r="L93">
        <v>91</v>
      </c>
      <c r="M93" t="s">
        <v>439</v>
      </c>
    </row>
    <row r="94" spans="1:13" x14ac:dyDescent="0.45">
      <c r="A94" t="s">
        <v>125</v>
      </c>
      <c r="B94" t="s">
        <v>44</v>
      </c>
      <c r="C94" t="s">
        <v>11</v>
      </c>
      <c r="D94" t="s">
        <v>47</v>
      </c>
      <c r="E94" t="s">
        <v>13</v>
      </c>
      <c r="F94">
        <v>14</v>
      </c>
      <c r="G94" t="s">
        <v>447</v>
      </c>
      <c r="H94" s="1">
        <v>12102</v>
      </c>
      <c r="I94" s="1" t="s">
        <v>451</v>
      </c>
      <c r="J94">
        <v>10</v>
      </c>
      <c r="K94" t="s">
        <v>443</v>
      </c>
      <c r="L94">
        <v>90</v>
      </c>
      <c r="M94" t="s">
        <v>439</v>
      </c>
    </row>
    <row r="95" spans="1:13" x14ac:dyDescent="0.45">
      <c r="A95" t="s">
        <v>126</v>
      </c>
      <c r="B95" t="s">
        <v>49</v>
      </c>
      <c r="C95" t="s">
        <v>23</v>
      </c>
      <c r="D95" t="s">
        <v>42</v>
      </c>
      <c r="E95" t="s">
        <v>17</v>
      </c>
      <c r="F95">
        <v>67</v>
      </c>
      <c r="G95" t="s">
        <v>438</v>
      </c>
      <c r="H95" s="1">
        <v>1532</v>
      </c>
      <c r="I95" s="1" t="s">
        <v>434</v>
      </c>
      <c r="J95">
        <v>2</v>
      </c>
      <c r="K95" t="s">
        <v>464</v>
      </c>
      <c r="L95">
        <v>89</v>
      </c>
      <c r="M95" t="s">
        <v>433</v>
      </c>
    </row>
    <row r="96" spans="1:13" x14ac:dyDescent="0.45">
      <c r="A96" t="s">
        <v>127</v>
      </c>
      <c r="B96" t="s">
        <v>49</v>
      </c>
      <c r="C96" t="s">
        <v>23</v>
      </c>
      <c r="D96" t="s">
        <v>34</v>
      </c>
      <c r="E96" t="s">
        <v>17</v>
      </c>
      <c r="F96">
        <v>76</v>
      </c>
      <c r="G96" t="s">
        <v>438</v>
      </c>
      <c r="H96" s="1">
        <v>749</v>
      </c>
      <c r="I96" s="1" t="s">
        <v>434</v>
      </c>
      <c r="J96">
        <v>2</v>
      </c>
      <c r="K96" t="s">
        <v>464</v>
      </c>
      <c r="L96">
        <v>65</v>
      </c>
      <c r="M96" t="s">
        <v>439</v>
      </c>
    </row>
    <row r="97" spans="1:13" x14ac:dyDescent="0.45">
      <c r="A97" t="s">
        <v>128</v>
      </c>
      <c r="B97" t="s">
        <v>49</v>
      </c>
      <c r="C97" t="s">
        <v>11</v>
      </c>
      <c r="D97" t="s">
        <v>27</v>
      </c>
      <c r="E97" t="s">
        <v>13</v>
      </c>
      <c r="F97">
        <v>32</v>
      </c>
      <c r="G97" t="s">
        <v>446</v>
      </c>
      <c r="H97" s="1">
        <v>17295</v>
      </c>
      <c r="I97" s="1" t="s">
        <v>444</v>
      </c>
      <c r="J97">
        <v>12</v>
      </c>
      <c r="K97" t="s">
        <v>443</v>
      </c>
      <c r="L97">
        <v>86</v>
      </c>
      <c r="M97" t="s">
        <v>439</v>
      </c>
    </row>
    <row r="98" spans="1:13" x14ac:dyDescent="0.45">
      <c r="A98" t="s">
        <v>129</v>
      </c>
      <c r="B98" t="s">
        <v>19</v>
      </c>
      <c r="C98" t="s">
        <v>23</v>
      </c>
      <c r="D98" t="s">
        <v>29</v>
      </c>
      <c r="E98" t="s">
        <v>17</v>
      </c>
      <c r="F98">
        <v>42</v>
      </c>
      <c r="G98" t="s">
        <v>446</v>
      </c>
      <c r="H98" s="1">
        <v>572</v>
      </c>
      <c r="I98" s="1" t="s">
        <v>434</v>
      </c>
      <c r="J98">
        <v>2</v>
      </c>
      <c r="K98" t="s">
        <v>464</v>
      </c>
      <c r="L98">
        <v>63</v>
      </c>
      <c r="M98" t="s">
        <v>439</v>
      </c>
    </row>
    <row r="99" spans="1:13" x14ac:dyDescent="0.45">
      <c r="A99" t="s">
        <v>130</v>
      </c>
      <c r="B99" t="s">
        <v>44</v>
      </c>
      <c r="C99" t="s">
        <v>26</v>
      </c>
      <c r="D99" t="s">
        <v>29</v>
      </c>
      <c r="E99" t="s">
        <v>17</v>
      </c>
      <c r="F99">
        <v>77</v>
      </c>
      <c r="G99" t="s">
        <v>438</v>
      </c>
      <c r="H99" s="1">
        <v>6744</v>
      </c>
      <c r="I99" s="1" t="s">
        <v>437</v>
      </c>
      <c r="J99">
        <v>6</v>
      </c>
      <c r="K99" t="s">
        <v>436</v>
      </c>
      <c r="L99">
        <v>85</v>
      </c>
      <c r="M99" t="s">
        <v>445</v>
      </c>
    </row>
    <row r="100" spans="1:13" x14ac:dyDescent="0.45">
      <c r="A100" t="s">
        <v>131</v>
      </c>
      <c r="B100" t="s">
        <v>15</v>
      </c>
      <c r="C100" t="s">
        <v>40</v>
      </c>
      <c r="D100" t="s">
        <v>31</v>
      </c>
      <c r="E100" t="s">
        <v>17</v>
      </c>
      <c r="F100">
        <v>53</v>
      </c>
      <c r="G100" t="s">
        <v>441</v>
      </c>
      <c r="H100" s="1">
        <v>4502</v>
      </c>
      <c r="I100" s="1" t="s">
        <v>437</v>
      </c>
      <c r="J100">
        <v>5</v>
      </c>
      <c r="K100" t="s">
        <v>436</v>
      </c>
      <c r="L100">
        <v>98</v>
      </c>
      <c r="M100" t="s">
        <v>433</v>
      </c>
    </row>
    <row r="101" spans="1:13" x14ac:dyDescent="0.45">
      <c r="A101" t="s">
        <v>132</v>
      </c>
      <c r="B101" t="s">
        <v>22</v>
      </c>
      <c r="C101" t="s">
        <v>23</v>
      </c>
      <c r="D101" t="s">
        <v>34</v>
      </c>
      <c r="E101" t="s">
        <v>17</v>
      </c>
      <c r="F101">
        <v>3</v>
      </c>
      <c r="G101" t="s">
        <v>450</v>
      </c>
      <c r="H101" s="1">
        <v>390</v>
      </c>
      <c r="I101" s="1" t="s">
        <v>434</v>
      </c>
      <c r="J101">
        <v>2</v>
      </c>
      <c r="K101" t="s">
        <v>464</v>
      </c>
      <c r="L101">
        <v>64</v>
      </c>
      <c r="M101" t="s">
        <v>439</v>
      </c>
    </row>
    <row r="102" spans="1:13" x14ac:dyDescent="0.45">
      <c r="A102" t="s">
        <v>133</v>
      </c>
      <c r="B102" t="s">
        <v>25</v>
      </c>
      <c r="C102" t="s">
        <v>40</v>
      </c>
      <c r="D102" t="s">
        <v>27</v>
      </c>
      <c r="E102" t="s">
        <v>13</v>
      </c>
      <c r="F102">
        <v>48</v>
      </c>
      <c r="G102" t="s">
        <v>441</v>
      </c>
      <c r="H102" s="1">
        <v>4376</v>
      </c>
      <c r="I102" s="1" t="s">
        <v>437</v>
      </c>
      <c r="J102">
        <v>5</v>
      </c>
      <c r="K102" t="s">
        <v>436</v>
      </c>
      <c r="L102">
        <v>83</v>
      </c>
      <c r="M102" t="s">
        <v>445</v>
      </c>
    </row>
    <row r="103" spans="1:13" x14ac:dyDescent="0.45">
      <c r="A103" t="s">
        <v>134</v>
      </c>
      <c r="B103" t="s">
        <v>44</v>
      </c>
      <c r="C103" t="s">
        <v>23</v>
      </c>
      <c r="D103" t="s">
        <v>20</v>
      </c>
      <c r="E103" t="s">
        <v>17</v>
      </c>
      <c r="F103">
        <v>90</v>
      </c>
      <c r="G103" t="s">
        <v>438</v>
      </c>
      <c r="H103" s="1">
        <v>1129</v>
      </c>
      <c r="I103" s="1" t="s">
        <v>434</v>
      </c>
      <c r="J103">
        <v>2</v>
      </c>
      <c r="K103" t="s">
        <v>464</v>
      </c>
      <c r="L103">
        <v>69</v>
      </c>
      <c r="M103" t="s">
        <v>439</v>
      </c>
    </row>
    <row r="104" spans="1:13" x14ac:dyDescent="0.45">
      <c r="A104" t="s">
        <v>135</v>
      </c>
      <c r="B104" t="s">
        <v>44</v>
      </c>
      <c r="C104" t="s">
        <v>40</v>
      </c>
      <c r="D104" t="s">
        <v>31</v>
      </c>
      <c r="E104" t="s">
        <v>13</v>
      </c>
      <c r="F104">
        <v>41</v>
      </c>
      <c r="G104" t="s">
        <v>446</v>
      </c>
      <c r="H104" s="1">
        <v>1479</v>
      </c>
      <c r="I104" s="1" t="s">
        <v>434</v>
      </c>
      <c r="J104">
        <v>5</v>
      </c>
      <c r="K104" t="s">
        <v>436</v>
      </c>
      <c r="L104">
        <v>98</v>
      </c>
      <c r="M104" t="s">
        <v>433</v>
      </c>
    </row>
    <row r="105" spans="1:13" x14ac:dyDescent="0.45">
      <c r="A105" t="s">
        <v>136</v>
      </c>
      <c r="B105" t="s">
        <v>10</v>
      </c>
      <c r="C105" t="s">
        <v>40</v>
      </c>
      <c r="D105" t="s">
        <v>60</v>
      </c>
      <c r="E105" t="s">
        <v>17</v>
      </c>
      <c r="F105">
        <v>62</v>
      </c>
      <c r="G105" t="s">
        <v>438</v>
      </c>
      <c r="H105" s="1">
        <v>2765</v>
      </c>
      <c r="I105" s="1" t="s">
        <v>434</v>
      </c>
      <c r="J105">
        <v>5</v>
      </c>
      <c r="K105" t="s">
        <v>436</v>
      </c>
      <c r="L105">
        <v>98</v>
      </c>
      <c r="M105" t="s">
        <v>433</v>
      </c>
    </row>
    <row r="106" spans="1:13" x14ac:dyDescent="0.45">
      <c r="A106" t="s">
        <v>137</v>
      </c>
      <c r="B106" t="s">
        <v>19</v>
      </c>
      <c r="C106" t="s">
        <v>26</v>
      </c>
      <c r="D106" t="s">
        <v>31</v>
      </c>
      <c r="E106" t="s">
        <v>13</v>
      </c>
      <c r="F106">
        <v>38</v>
      </c>
      <c r="G106" t="s">
        <v>446</v>
      </c>
      <c r="H106" s="1">
        <v>2863</v>
      </c>
      <c r="I106" s="1" t="s">
        <v>434</v>
      </c>
      <c r="J106">
        <v>7</v>
      </c>
      <c r="K106" t="s">
        <v>440</v>
      </c>
      <c r="L106">
        <v>61</v>
      </c>
      <c r="M106" t="s">
        <v>439</v>
      </c>
    </row>
    <row r="107" spans="1:13" x14ac:dyDescent="0.45">
      <c r="A107" t="s">
        <v>138</v>
      </c>
      <c r="B107" t="s">
        <v>44</v>
      </c>
      <c r="C107" t="s">
        <v>11</v>
      </c>
      <c r="D107" t="s">
        <v>20</v>
      </c>
      <c r="E107" t="s">
        <v>17</v>
      </c>
      <c r="F107">
        <v>6</v>
      </c>
      <c r="G107" t="s">
        <v>449</v>
      </c>
      <c r="H107" s="1">
        <v>5893</v>
      </c>
      <c r="I107" s="1" t="s">
        <v>437</v>
      </c>
      <c r="J107">
        <v>13</v>
      </c>
      <c r="K107" t="s">
        <v>463</v>
      </c>
      <c r="L107">
        <v>68</v>
      </c>
      <c r="M107" t="s">
        <v>442</v>
      </c>
    </row>
    <row r="108" spans="1:13" x14ac:dyDescent="0.45">
      <c r="A108" t="s">
        <v>139</v>
      </c>
      <c r="B108" t="s">
        <v>10</v>
      </c>
      <c r="C108" t="s">
        <v>40</v>
      </c>
      <c r="D108" t="s">
        <v>34</v>
      </c>
      <c r="E108" t="s">
        <v>17</v>
      </c>
      <c r="F108">
        <v>2</v>
      </c>
      <c r="G108" t="s">
        <v>450</v>
      </c>
      <c r="H108" s="1">
        <v>2829</v>
      </c>
      <c r="I108" s="1" t="s">
        <v>434</v>
      </c>
      <c r="J108">
        <v>4</v>
      </c>
      <c r="K108" t="s">
        <v>436</v>
      </c>
      <c r="L108">
        <v>80</v>
      </c>
      <c r="M108" t="s">
        <v>445</v>
      </c>
    </row>
    <row r="109" spans="1:13" x14ac:dyDescent="0.45">
      <c r="A109" t="s">
        <v>140</v>
      </c>
      <c r="B109" t="s">
        <v>25</v>
      </c>
      <c r="C109" t="s">
        <v>26</v>
      </c>
      <c r="D109" t="s">
        <v>42</v>
      </c>
      <c r="E109" t="s">
        <v>13</v>
      </c>
      <c r="F109">
        <v>33</v>
      </c>
      <c r="G109" t="s">
        <v>446</v>
      </c>
      <c r="H109" s="1">
        <v>4913</v>
      </c>
      <c r="I109" s="1" t="s">
        <v>437</v>
      </c>
      <c r="J109">
        <v>3</v>
      </c>
      <c r="K109" t="s">
        <v>464</v>
      </c>
      <c r="L109">
        <v>54</v>
      </c>
      <c r="M109" t="s">
        <v>439</v>
      </c>
    </row>
    <row r="110" spans="1:13" x14ac:dyDescent="0.45">
      <c r="A110" t="s">
        <v>141</v>
      </c>
      <c r="B110" t="s">
        <v>25</v>
      </c>
      <c r="C110" t="s">
        <v>23</v>
      </c>
      <c r="D110" t="s">
        <v>31</v>
      </c>
      <c r="E110" t="s">
        <v>13</v>
      </c>
      <c r="F110">
        <v>88</v>
      </c>
      <c r="G110" t="s">
        <v>438</v>
      </c>
      <c r="H110" s="1">
        <v>309</v>
      </c>
      <c r="I110" s="1" t="s">
        <v>434</v>
      </c>
      <c r="J110">
        <v>1</v>
      </c>
      <c r="K110" t="s">
        <v>464</v>
      </c>
      <c r="L110">
        <v>59</v>
      </c>
      <c r="M110" t="s">
        <v>439</v>
      </c>
    </row>
    <row r="111" spans="1:13" x14ac:dyDescent="0.45">
      <c r="A111" t="s">
        <v>142</v>
      </c>
      <c r="B111" t="s">
        <v>49</v>
      </c>
      <c r="C111" t="s">
        <v>26</v>
      </c>
      <c r="D111" t="s">
        <v>31</v>
      </c>
      <c r="E111" t="s">
        <v>37</v>
      </c>
      <c r="F111">
        <v>16</v>
      </c>
      <c r="G111" t="s">
        <v>447</v>
      </c>
      <c r="H111" s="1">
        <v>5571</v>
      </c>
      <c r="I111" s="1" t="s">
        <v>437</v>
      </c>
      <c r="J111">
        <v>8</v>
      </c>
      <c r="K111" t="s">
        <v>440</v>
      </c>
      <c r="L111">
        <v>88</v>
      </c>
      <c r="M111" t="s">
        <v>445</v>
      </c>
    </row>
    <row r="112" spans="1:13" x14ac:dyDescent="0.45">
      <c r="A112" t="s">
        <v>143</v>
      </c>
      <c r="B112" t="s">
        <v>19</v>
      </c>
      <c r="C112" t="s">
        <v>40</v>
      </c>
      <c r="D112" t="s">
        <v>20</v>
      </c>
      <c r="E112" t="s">
        <v>17</v>
      </c>
      <c r="F112">
        <v>57</v>
      </c>
      <c r="G112" t="s">
        <v>441</v>
      </c>
      <c r="H112" s="1">
        <v>2935</v>
      </c>
      <c r="I112" s="1" t="s">
        <v>434</v>
      </c>
      <c r="J112">
        <v>5</v>
      </c>
      <c r="K112" t="s">
        <v>436</v>
      </c>
      <c r="L112">
        <v>77</v>
      </c>
      <c r="M112" t="s">
        <v>445</v>
      </c>
    </row>
    <row r="113" spans="1:13" x14ac:dyDescent="0.45">
      <c r="A113" t="s">
        <v>144</v>
      </c>
      <c r="B113" t="s">
        <v>44</v>
      </c>
      <c r="C113" t="s">
        <v>11</v>
      </c>
      <c r="D113" t="s">
        <v>16</v>
      </c>
      <c r="E113" t="s">
        <v>13</v>
      </c>
      <c r="F113">
        <v>13</v>
      </c>
      <c r="G113" t="s">
        <v>447</v>
      </c>
      <c r="H113" s="1">
        <v>17496</v>
      </c>
      <c r="I113" s="1" t="s">
        <v>444</v>
      </c>
      <c r="J113">
        <v>8</v>
      </c>
      <c r="K113" t="s">
        <v>440</v>
      </c>
      <c r="L113">
        <v>90</v>
      </c>
      <c r="M113" t="s">
        <v>445</v>
      </c>
    </row>
    <row r="114" spans="1:13" x14ac:dyDescent="0.45">
      <c r="A114" t="s">
        <v>145</v>
      </c>
      <c r="B114" t="s">
        <v>22</v>
      </c>
      <c r="C114" t="s">
        <v>26</v>
      </c>
      <c r="D114" t="s">
        <v>31</v>
      </c>
      <c r="E114" t="s">
        <v>17</v>
      </c>
      <c r="F114">
        <v>23</v>
      </c>
      <c r="G114" t="s">
        <v>435</v>
      </c>
      <c r="H114" s="1">
        <v>5521</v>
      </c>
      <c r="I114" s="1" t="s">
        <v>437</v>
      </c>
      <c r="J114">
        <v>3</v>
      </c>
      <c r="K114" t="s">
        <v>464</v>
      </c>
      <c r="L114">
        <v>60</v>
      </c>
      <c r="M114" t="s">
        <v>439</v>
      </c>
    </row>
    <row r="115" spans="1:13" x14ac:dyDescent="0.45">
      <c r="A115" t="s">
        <v>146</v>
      </c>
      <c r="B115" t="s">
        <v>15</v>
      </c>
      <c r="C115" t="s">
        <v>23</v>
      </c>
      <c r="D115" t="s">
        <v>34</v>
      </c>
      <c r="E115" t="s">
        <v>13</v>
      </c>
      <c r="F115">
        <v>61</v>
      </c>
      <c r="G115" t="s">
        <v>438</v>
      </c>
      <c r="H115" s="1">
        <v>796</v>
      </c>
      <c r="I115" s="1" t="s">
        <v>434</v>
      </c>
      <c r="J115">
        <v>1</v>
      </c>
      <c r="K115" t="s">
        <v>464</v>
      </c>
      <c r="L115">
        <v>64</v>
      </c>
      <c r="M115" t="s">
        <v>439</v>
      </c>
    </row>
    <row r="116" spans="1:13" x14ac:dyDescent="0.45">
      <c r="A116" t="s">
        <v>147</v>
      </c>
      <c r="B116" t="s">
        <v>44</v>
      </c>
      <c r="C116" t="s">
        <v>26</v>
      </c>
      <c r="D116" t="s">
        <v>34</v>
      </c>
      <c r="E116" t="s">
        <v>17</v>
      </c>
      <c r="F116">
        <v>30</v>
      </c>
      <c r="G116" t="s">
        <v>446</v>
      </c>
      <c r="H116" s="1">
        <v>3167</v>
      </c>
      <c r="I116" s="1" t="s">
        <v>437</v>
      </c>
      <c r="J116">
        <v>5</v>
      </c>
      <c r="K116" t="s">
        <v>436</v>
      </c>
      <c r="L116">
        <v>77</v>
      </c>
      <c r="M116" t="s">
        <v>445</v>
      </c>
    </row>
    <row r="117" spans="1:13" x14ac:dyDescent="0.45">
      <c r="A117" t="s">
        <v>148</v>
      </c>
      <c r="B117" t="s">
        <v>15</v>
      </c>
      <c r="C117" t="s">
        <v>40</v>
      </c>
      <c r="D117" t="s">
        <v>42</v>
      </c>
      <c r="E117" t="s">
        <v>13</v>
      </c>
      <c r="F117">
        <v>19</v>
      </c>
      <c r="G117" t="s">
        <v>447</v>
      </c>
      <c r="H117" s="1">
        <v>1084</v>
      </c>
      <c r="I117" s="1" t="s">
        <v>434</v>
      </c>
      <c r="J117">
        <v>1</v>
      </c>
      <c r="K117" t="s">
        <v>464</v>
      </c>
      <c r="L117">
        <v>60</v>
      </c>
      <c r="M117" t="s">
        <v>439</v>
      </c>
    </row>
    <row r="118" spans="1:13" x14ac:dyDescent="0.45">
      <c r="A118" t="s">
        <v>149</v>
      </c>
      <c r="B118" t="s">
        <v>49</v>
      </c>
      <c r="C118" t="s">
        <v>26</v>
      </c>
      <c r="D118" t="s">
        <v>16</v>
      </c>
      <c r="E118" t="s">
        <v>13</v>
      </c>
      <c r="F118">
        <v>73</v>
      </c>
      <c r="G118" t="s">
        <v>438</v>
      </c>
      <c r="H118" s="1">
        <v>3364</v>
      </c>
      <c r="I118" s="1" t="s">
        <v>437</v>
      </c>
      <c r="J118">
        <v>9</v>
      </c>
      <c r="K118" t="s">
        <v>440</v>
      </c>
      <c r="L118">
        <v>57</v>
      </c>
      <c r="M118" t="s">
        <v>439</v>
      </c>
    </row>
    <row r="119" spans="1:13" x14ac:dyDescent="0.45">
      <c r="A119" t="s">
        <v>150</v>
      </c>
      <c r="B119" t="s">
        <v>25</v>
      </c>
      <c r="C119" t="s">
        <v>26</v>
      </c>
      <c r="D119" t="s">
        <v>47</v>
      </c>
      <c r="E119" t="s">
        <v>13</v>
      </c>
      <c r="F119">
        <v>65</v>
      </c>
      <c r="G119" t="s">
        <v>438</v>
      </c>
      <c r="H119" s="1">
        <v>5423</v>
      </c>
      <c r="I119" s="1" t="s">
        <v>437</v>
      </c>
      <c r="J119">
        <v>9</v>
      </c>
      <c r="K119" t="s">
        <v>440</v>
      </c>
      <c r="L119">
        <v>78</v>
      </c>
      <c r="M119" t="s">
        <v>445</v>
      </c>
    </row>
    <row r="120" spans="1:13" x14ac:dyDescent="0.45">
      <c r="A120" t="s">
        <v>151</v>
      </c>
      <c r="B120" t="s">
        <v>15</v>
      </c>
      <c r="C120" t="s">
        <v>11</v>
      </c>
      <c r="D120" t="s">
        <v>47</v>
      </c>
      <c r="E120" t="s">
        <v>13</v>
      </c>
      <c r="F120">
        <v>78</v>
      </c>
      <c r="G120" t="s">
        <v>438</v>
      </c>
      <c r="H120" s="1">
        <v>9102</v>
      </c>
      <c r="I120" s="1" t="s">
        <v>448</v>
      </c>
      <c r="J120">
        <v>5</v>
      </c>
      <c r="K120" t="s">
        <v>436</v>
      </c>
      <c r="L120">
        <v>55</v>
      </c>
      <c r="M120" t="s">
        <v>439</v>
      </c>
    </row>
    <row r="121" spans="1:13" x14ac:dyDescent="0.45">
      <c r="A121" t="s">
        <v>152</v>
      </c>
      <c r="B121" t="s">
        <v>22</v>
      </c>
      <c r="C121" t="s">
        <v>11</v>
      </c>
      <c r="D121" t="s">
        <v>27</v>
      </c>
      <c r="E121" t="s">
        <v>13</v>
      </c>
      <c r="F121">
        <v>23</v>
      </c>
      <c r="G121" t="s">
        <v>435</v>
      </c>
      <c r="H121" s="1">
        <v>12708</v>
      </c>
      <c r="I121" s="1" t="s">
        <v>451</v>
      </c>
      <c r="J121">
        <v>13</v>
      </c>
      <c r="K121" t="s">
        <v>463</v>
      </c>
      <c r="L121">
        <v>91</v>
      </c>
      <c r="M121" t="s">
        <v>442</v>
      </c>
    </row>
    <row r="122" spans="1:13" x14ac:dyDescent="0.45">
      <c r="A122" t="s">
        <v>153</v>
      </c>
      <c r="B122" t="s">
        <v>25</v>
      </c>
      <c r="C122" t="s">
        <v>26</v>
      </c>
      <c r="D122" t="s">
        <v>42</v>
      </c>
      <c r="E122" t="s">
        <v>37</v>
      </c>
      <c r="F122">
        <v>56</v>
      </c>
      <c r="G122" t="s">
        <v>441</v>
      </c>
      <c r="H122" s="1">
        <v>6200</v>
      </c>
      <c r="I122" s="1" t="s">
        <v>437</v>
      </c>
      <c r="J122">
        <v>9</v>
      </c>
      <c r="K122" t="s">
        <v>440</v>
      </c>
      <c r="L122">
        <v>55</v>
      </c>
      <c r="M122" t="s">
        <v>439</v>
      </c>
    </row>
    <row r="123" spans="1:13" x14ac:dyDescent="0.45">
      <c r="A123" t="s">
        <v>154</v>
      </c>
      <c r="B123" t="s">
        <v>25</v>
      </c>
      <c r="C123" t="s">
        <v>26</v>
      </c>
      <c r="D123" t="s">
        <v>47</v>
      </c>
      <c r="E123" t="s">
        <v>17</v>
      </c>
      <c r="F123">
        <v>86</v>
      </c>
      <c r="G123" t="s">
        <v>438</v>
      </c>
      <c r="H123" s="1">
        <v>1856</v>
      </c>
      <c r="I123" s="1" t="s">
        <v>434</v>
      </c>
      <c r="J123">
        <v>4</v>
      </c>
      <c r="K123" t="s">
        <v>436</v>
      </c>
      <c r="L123">
        <v>71</v>
      </c>
      <c r="M123" t="s">
        <v>445</v>
      </c>
    </row>
    <row r="124" spans="1:13" x14ac:dyDescent="0.45">
      <c r="A124" t="s">
        <v>155</v>
      </c>
      <c r="B124" t="s">
        <v>25</v>
      </c>
      <c r="C124" t="s">
        <v>23</v>
      </c>
      <c r="D124" t="s">
        <v>27</v>
      </c>
      <c r="E124" t="s">
        <v>13</v>
      </c>
      <c r="F124">
        <v>52</v>
      </c>
      <c r="G124" t="s">
        <v>441</v>
      </c>
      <c r="H124" s="1">
        <v>1866</v>
      </c>
      <c r="I124" s="1" t="s">
        <v>434</v>
      </c>
      <c r="J124">
        <v>3</v>
      </c>
      <c r="K124" t="s">
        <v>464</v>
      </c>
      <c r="L124">
        <v>52</v>
      </c>
      <c r="M124" t="s">
        <v>439</v>
      </c>
    </row>
    <row r="125" spans="1:13" x14ac:dyDescent="0.45">
      <c r="A125" t="s">
        <v>156</v>
      </c>
      <c r="B125" t="s">
        <v>25</v>
      </c>
      <c r="C125" t="s">
        <v>11</v>
      </c>
      <c r="D125" t="s">
        <v>29</v>
      </c>
      <c r="E125" t="s">
        <v>17</v>
      </c>
      <c r="F125">
        <v>15</v>
      </c>
      <c r="G125" t="s">
        <v>447</v>
      </c>
      <c r="H125" s="1">
        <v>17657</v>
      </c>
      <c r="I125" s="1" t="s">
        <v>444</v>
      </c>
      <c r="J125">
        <v>11</v>
      </c>
      <c r="K125" t="s">
        <v>443</v>
      </c>
      <c r="L125">
        <v>82</v>
      </c>
      <c r="M125" t="s">
        <v>439</v>
      </c>
    </row>
    <row r="126" spans="1:13" x14ac:dyDescent="0.45">
      <c r="A126" t="s">
        <v>157</v>
      </c>
      <c r="B126" t="s">
        <v>49</v>
      </c>
      <c r="C126" t="s">
        <v>11</v>
      </c>
      <c r="D126" t="s">
        <v>20</v>
      </c>
      <c r="E126" t="s">
        <v>17</v>
      </c>
      <c r="F126">
        <v>7</v>
      </c>
      <c r="G126" t="s">
        <v>449</v>
      </c>
      <c r="H126" s="1">
        <v>8073</v>
      </c>
      <c r="I126" s="1" t="s">
        <v>448</v>
      </c>
      <c r="J126">
        <v>13</v>
      </c>
      <c r="K126" t="s">
        <v>463</v>
      </c>
      <c r="L126">
        <v>73</v>
      </c>
      <c r="M126" t="s">
        <v>442</v>
      </c>
    </row>
    <row r="127" spans="1:13" x14ac:dyDescent="0.45">
      <c r="A127" t="s">
        <v>158</v>
      </c>
      <c r="B127" t="s">
        <v>19</v>
      </c>
      <c r="C127" t="s">
        <v>23</v>
      </c>
      <c r="D127" t="s">
        <v>34</v>
      </c>
      <c r="E127" t="s">
        <v>13</v>
      </c>
      <c r="F127">
        <v>27</v>
      </c>
      <c r="G127" t="s">
        <v>435</v>
      </c>
      <c r="H127" s="1">
        <v>746</v>
      </c>
      <c r="I127" s="1" t="s">
        <v>434</v>
      </c>
      <c r="J127">
        <v>3</v>
      </c>
      <c r="K127" t="s">
        <v>464</v>
      </c>
      <c r="L127">
        <v>58</v>
      </c>
      <c r="M127" t="s">
        <v>439</v>
      </c>
    </row>
    <row r="128" spans="1:13" x14ac:dyDescent="0.45">
      <c r="A128" t="s">
        <v>159</v>
      </c>
      <c r="B128" t="s">
        <v>44</v>
      </c>
      <c r="C128" t="s">
        <v>23</v>
      </c>
      <c r="D128" t="s">
        <v>34</v>
      </c>
      <c r="E128" t="s">
        <v>17</v>
      </c>
      <c r="F128">
        <v>81</v>
      </c>
      <c r="G128" t="s">
        <v>438</v>
      </c>
      <c r="H128" s="1">
        <v>1446</v>
      </c>
      <c r="I128" s="1" t="s">
        <v>434</v>
      </c>
      <c r="J128">
        <v>1</v>
      </c>
      <c r="K128" t="s">
        <v>464</v>
      </c>
      <c r="L128">
        <v>95</v>
      </c>
      <c r="M128" t="s">
        <v>433</v>
      </c>
    </row>
    <row r="129" spans="1:13" x14ac:dyDescent="0.45">
      <c r="A129" t="s">
        <v>160</v>
      </c>
      <c r="B129" t="s">
        <v>22</v>
      </c>
      <c r="C129" t="s">
        <v>26</v>
      </c>
      <c r="D129" t="s">
        <v>20</v>
      </c>
      <c r="E129" t="s">
        <v>17</v>
      </c>
      <c r="F129">
        <v>53</v>
      </c>
      <c r="G129" t="s">
        <v>441</v>
      </c>
      <c r="H129" s="1">
        <v>1763</v>
      </c>
      <c r="I129" s="1" t="s">
        <v>434</v>
      </c>
      <c r="J129">
        <v>5</v>
      </c>
      <c r="K129" t="s">
        <v>436</v>
      </c>
      <c r="L129">
        <v>57</v>
      </c>
      <c r="M129" t="s">
        <v>439</v>
      </c>
    </row>
    <row r="130" spans="1:13" x14ac:dyDescent="0.45">
      <c r="A130" t="s">
        <v>161</v>
      </c>
      <c r="B130" t="s">
        <v>25</v>
      </c>
      <c r="C130" t="s">
        <v>11</v>
      </c>
      <c r="D130" t="s">
        <v>42</v>
      </c>
      <c r="E130" t="s">
        <v>13</v>
      </c>
      <c r="F130">
        <v>38</v>
      </c>
      <c r="G130" t="s">
        <v>446</v>
      </c>
      <c r="H130" s="1">
        <v>13337</v>
      </c>
      <c r="I130" s="1" t="s">
        <v>451</v>
      </c>
      <c r="J130">
        <v>9</v>
      </c>
      <c r="K130" t="s">
        <v>440</v>
      </c>
      <c r="L130">
        <v>76</v>
      </c>
      <c r="M130" t="s">
        <v>445</v>
      </c>
    </row>
    <row r="131" spans="1:13" x14ac:dyDescent="0.45">
      <c r="A131" t="s">
        <v>162</v>
      </c>
      <c r="B131" t="s">
        <v>49</v>
      </c>
      <c r="C131" t="s">
        <v>23</v>
      </c>
      <c r="D131" t="s">
        <v>34</v>
      </c>
      <c r="E131" t="s">
        <v>17</v>
      </c>
      <c r="F131">
        <v>71</v>
      </c>
      <c r="G131" t="s">
        <v>438</v>
      </c>
      <c r="H131" s="1">
        <v>496</v>
      </c>
      <c r="I131" s="1" t="s">
        <v>434</v>
      </c>
      <c r="J131">
        <v>2</v>
      </c>
      <c r="K131" t="s">
        <v>464</v>
      </c>
      <c r="L131">
        <v>62</v>
      </c>
      <c r="M131" t="s">
        <v>439</v>
      </c>
    </row>
    <row r="132" spans="1:13" x14ac:dyDescent="0.45">
      <c r="A132" t="s">
        <v>163</v>
      </c>
      <c r="B132" t="s">
        <v>19</v>
      </c>
      <c r="C132" t="s">
        <v>40</v>
      </c>
      <c r="D132" t="s">
        <v>31</v>
      </c>
      <c r="E132" t="s">
        <v>17</v>
      </c>
      <c r="F132">
        <v>54</v>
      </c>
      <c r="G132" t="s">
        <v>441</v>
      </c>
      <c r="H132" s="1">
        <v>3284</v>
      </c>
      <c r="I132" s="1" t="s">
        <v>437</v>
      </c>
      <c r="J132">
        <v>5</v>
      </c>
      <c r="K132" t="s">
        <v>436</v>
      </c>
      <c r="L132">
        <v>67</v>
      </c>
      <c r="M132" t="s">
        <v>439</v>
      </c>
    </row>
    <row r="133" spans="1:13" x14ac:dyDescent="0.45">
      <c r="A133" t="s">
        <v>164</v>
      </c>
      <c r="B133" t="s">
        <v>49</v>
      </c>
      <c r="C133" t="s">
        <v>11</v>
      </c>
      <c r="D133" t="s">
        <v>27</v>
      </c>
      <c r="E133" t="s">
        <v>13</v>
      </c>
      <c r="F133">
        <v>76</v>
      </c>
      <c r="G133" t="s">
        <v>438</v>
      </c>
      <c r="H133" s="1">
        <v>14501</v>
      </c>
      <c r="I133" s="1" t="s">
        <v>451</v>
      </c>
      <c r="J133">
        <v>15</v>
      </c>
      <c r="K133" t="s">
        <v>463</v>
      </c>
      <c r="L133">
        <v>81</v>
      </c>
      <c r="M133" t="s">
        <v>442</v>
      </c>
    </row>
    <row r="134" spans="1:13" x14ac:dyDescent="0.45">
      <c r="A134" t="s">
        <v>165</v>
      </c>
      <c r="B134" t="s">
        <v>49</v>
      </c>
      <c r="C134" t="s">
        <v>40</v>
      </c>
      <c r="D134" t="s">
        <v>34</v>
      </c>
      <c r="E134" t="s">
        <v>13</v>
      </c>
      <c r="F134">
        <v>45</v>
      </c>
      <c r="G134" t="s">
        <v>441</v>
      </c>
      <c r="H134" s="1">
        <v>3223</v>
      </c>
      <c r="I134" s="1" t="s">
        <v>437</v>
      </c>
      <c r="J134">
        <v>5</v>
      </c>
      <c r="K134" t="s">
        <v>436</v>
      </c>
      <c r="L134">
        <v>98</v>
      </c>
      <c r="M134" t="s">
        <v>433</v>
      </c>
    </row>
    <row r="135" spans="1:13" x14ac:dyDescent="0.45">
      <c r="A135" t="s">
        <v>166</v>
      </c>
      <c r="B135" t="s">
        <v>19</v>
      </c>
      <c r="C135" t="s">
        <v>23</v>
      </c>
      <c r="D135" t="s">
        <v>34</v>
      </c>
      <c r="E135" t="s">
        <v>13</v>
      </c>
      <c r="F135">
        <v>25</v>
      </c>
      <c r="G135" t="s">
        <v>435</v>
      </c>
      <c r="H135" s="1">
        <v>1628</v>
      </c>
      <c r="I135" s="1" t="s">
        <v>434</v>
      </c>
      <c r="J135">
        <v>1</v>
      </c>
      <c r="K135" t="s">
        <v>464</v>
      </c>
      <c r="L135">
        <v>86</v>
      </c>
      <c r="M135" t="s">
        <v>433</v>
      </c>
    </row>
    <row r="136" spans="1:13" x14ac:dyDescent="0.45">
      <c r="A136" t="s">
        <v>167</v>
      </c>
      <c r="B136" t="s">
        <v>25</v>
      </c>
      <c r="C136" t="s">
        <v>40</v>
      </c>
      <c r="D136" t="s">
        <v>47</v>
      </c>
      <c r="E136" t="s">
        <v>17</v>
      </c>
      <c r="F136">
        <v>61</v>
      </c>
      <c r="G136" t="s">
        <v>438</v>
      </c>
      <c r="H136" s="1">
        <v>3623</v>
      </c>
      <c r="I136" s="1" t="s">
        <v>437</v>
      </c>
      <c r="J136">
        <v>4</v>
      </c>
      <c r="K136" t="s">
        <v>436</v>
      </c>
      <c r="L136">
        <v>92</v>
      </c>
      <c r="M136" t="s">
        <v>433</v>
      </c>
    </row>
    <row r="137" spans="1:13" x14ac:dyDescent="0.45">
      <c r="A137" t="s">
        <v>168</v>
      </c>
      <c r="B137" t="s">
        <v>49</v>
      </c>
      <c r="C137" t="s">
        <v>40</v>
      </c>
      <c r="D137" t="s">
        <v>34</v>
      </c>
      <c r="E137" t="s">
        <v>13</v>
      </c>
      <c r="F137">
        <v>17</v>
      </c>
      <c r="G137" t="s">
        <v>447</v>
      </c>
      <c r="H137" s="1">
        <v>4614</v>
      </c>
      <c r="I137" s="1" t="s">
        <v>437</v>
      </c>
      <c r="J137">
        <v>5</v>
      </c>
      <c r="K137" t="s">
        <v>436</v>
      </c>
      <c r="L137">
        <v>71</v>
      </c>
      <c r="M137" t="s">
        <v>445</v>
      </c>
    </row>
    <row r="138" spans="1:13" x14ac:dyDescent="0.45">
      <c r="A138" t="s">
        <v>169</v>
      </c>
      <c r="B138" t="s">
        <v>49</v>
      </c>
      <c r="C138" t="s">
        <v>11</v>
      </c>
      <c r="D138" t="s">
        <v>34</v>
      </c>
      <c r="E138" t="s">
        <v>17</v>
      </c>
      <c r="F138">
        <v>59</v>
      </c>
      <c r="G138" t="s">
        <v>441</v>
      </c>
      <c r="H138" s="1">
        <v>5251</v>
      </c>
      <c r="I138" s="1" t="s">
        <v>437</v>
      </c>
      <c r="J138">
        <v>7</v>
      </c>
      <c r="K138" t="s">
        <v>440</v>
      </c>
      <c r="L138">
        <v>76</v>
      </c>
      <c r="M138" t="s">
        <v>445</v>
      </c>
    </row>
    <row r="139" spans="1:13" x14ac:dyDescent="0.45">
      <c r="A139" t="s">
        <v>170</v>
      </c>
      <c r="B139" t="s">
        <v>49</v>
      </c>
      <c r="C139" t="s">
        <v>40</v>
      </c>
      <c r="D139" t="s">
        <v>31</v>
      </c>
      <c r="E139" t="s">
        <v>17</v>
      </c>
      <c r="F139">
        <v>34</v>
      </c>
      <c r="G139" t="s">
        <v>446</v>
      </c>
      <c r="H139" s="1">
        <v>3273</v>
      </c>
      <c r="I139" s="1" t="s">
        <v>437</v>
      </c>
      <c r="J139">
        <v>5</v>
      </c>
      <c r="K139" t="s">
        <v>436</v>
      </c>
      <c r="L139">
        <v>94</v>
      </c>
      <c r="M139" t="s">
        <v>433</v>
      </c>
    </row>
    <row r="140" spans="1:13" x14ac:dyDescent="0.45">
      <c r="A140" t="s">
        <v>171</v>
      </c>
      <c r="B140" t="s">
        <v>25</v>
      </c>
      <c r="C140" t="s">
        <v>11</v>
      </c>
      <c r="D140" t="s">
        <v>29</v>
      </c>
      <c r="E140" t="s">
        <v>13</v>
      </c>
      <c r="F140">
        <v>69</v>
      </c>
      <c r="G140" t="s">
        <v>438</v>
      </c>
      <c r="H140" s="1">
        <v>11226</v>
      </c>
      <c r="I140" s="1" t="s">
        <v>451</v>
      </c>
      <c r="J140">
        <v>10</v>
      </c>
      <c r="K140" t="s">
        <v>443</v>
      </c>
      <c r="L140">
        <v>90</v>
      </c>
      <c r="M140" t="s">
        <v>439</v>
      </c>
    </row>
    <row r="141" spans="1:13" x14ac:dyDescent="0.45">
      <c r="A141" t="s">
        <v>172</v>
      </c>
      <c r="B141" t="s">
        <v>10</v>
      </c>
      <c r="C141" t="s">
        <v>23</v>
      </c>
      <c r="D141" t="s">
        <v>20</v>
      </c>
      <c r="E141" t="s">
        <v>17</v>
      </c>
      <c r="F141">
        <v>9</v>
      </c>
      <c r="G141" t="s">
        <v>449</v>
      </c>
      <c r="H141" s="1">
        <v>680</v>
      </c>
      <c r="I141" s="1" t="s">
        <v>434</v>
      </c>
      <c r="J141">
        <v>3</v>
      </c>
      <c r="K141" t="s">
        <v>464</v>
      </c>
      <c r="L141">
        <v>93</v>
      </c>
      <c r="M141" t="s">
        <v>433</v>
      </c>
    </row>
    <row r="142" spans="1:13" x14ac:dyDescent="0.45">
      <c r="A142" t="s">
        <v>173</v>
      </c>
      <c r="B142" t="s">
        <v>44</v>
      </c>
      <c r="C142" t="s">
        <v>40</v>
      </c>
      <c r="D142" t="s">
        <v>31</v>
      </c>
      <c r="E142" t="s">
        <v>17</v>
      </c>
      <c r="F142">
        <v>13</v>
      </c>
      <c r="G142" t="s">
        <v>447</v>
      </c>
      <c r="H142" s="1">
        <v>1323</v>
      </c>
      <c r="I142" s="1" t="s">
        <v>434</v>
      </c>
      <c r="J142">
        <v>4</v>
      </c>
      <c r="K142" t="s">
        <v>436</v>
      </c>
      <c r="L142">
        <v>60</v>
      </c>
      <c r="M142" t="s">
        <v>439</v>
      </c>
    </row>
    <row r="143" spans="1:13" x14ac:dyDescent="0.45">
      <c r="A143" t="s">
        <v>174</v>
      </c>
      <c r="B143" t="s">
        <v>10</v>
      </c>
      <c r="C143" t="s">
        <v>26</v>
      </c>
      <c r="D143" t="s">
        <v>12</v>
      </c>
      <c r="E143" t="s">
        <v>17</v>
      </c>
      <c r="F143">
        <v>8</v>
      </c>
      <c r="G143" t="s">
        <v>449</v>
      </c>
      <c r="H143" s="1">
        <v>3403</v>
      </c>
      <c r="I143" s="1" t="s">
        <v>437</v>
      </c>
      <c r="J143">
        <v>7</v>
      </c>
      <c r="K143" t="s">
        <v>440</v>
      </c>
      <c r="L143">
        <v>73</v>
      </c>
      <c r="M143" t="s">
        <v>445</v>
      </c>
    </row>
    <row r="144" spans="1:13" x14ac:dyDescent="0.45">
      <c r="A144" t="s">
        <v>175</v>
      </c>
      <c r="B144" t="s">
        <v>25</v>
      </c>
      <c r="C144" t="s">
        <v>40</v>
      </c>
      <c r="D144" t="s">
        <v>60</v>
      </c>
      <c r="E144" t="s">
        <v>13</v>
      </c>
      <c r="F144">
        <v>73</v>
      </c>
      <c r="G144" t="s">
        <v>438</v>
      </c>
      <c r="H144" s="1">
        <v>1975</v>
      </c>
      <c r="I144" s="1" t="s">
        <v>434</v>
      </c>
      <c r="J144">
        <v>2</v>
      </c>
      <c r="K144" t="s">
        <v>464</v>
      </c>
      <c r="L144">
        <v>61</v>
      </c>
      <c r="M144" t="s">
        <v>439</v>
      </c>
    </row>
    <row r="145" spans="1:13" x14ac:dyDescent="0.45">
      <c r="A145" t="s">
        <v>176</v>
      </c>
      <c r="B145" t="s">
        <v>15</v>
      </c>
      <c r="C145" t="s">
        <v>23</v>
      </c>
      <c r="D145" t="s">
        <v>16</v>
      </c>
      <c r="E145" t="s">
        <v>13</v>
      </c>
      <c r="F145">
        <v>64</v>
      </c>
      <c r="G145" t="s">
        <v>438</v>
      </c>
      <c r="H145" s="1">
        <v>1394</v>
      </c>
      <c r="I145" s="1" t="s">
        <v>434</v>
      </c>
      <c r="J145">
        <v>1</v>
      </c>
      <c r="K145" t="s">
        <v>464</v>
      </c>
      <c r="L145">
        <v>64</v>
      </c>
      <c r="M145" t="s">
        <v>439</v>
      </c>
    </row>
    <row r="146" spans="1:13" x14ac:dyDescent="0.45">
      <c r="A146" t="s">
        <v>177</v>
      </c>
      <c r="B146" t="s">
        <v>25</v>
      </c>
      <c r="C146" t="s">
        <v>26</v>
      </c>
      <c r="D146" t="s">
        <v>34</v>
      </c>
      <c r="E146" t="s">
        <v>17</v>
      </c>
      <c r="F146">
        <v>2</v>
      </c>
      <c r="G146" t="s">
        <v>450</v>
      </c>
      <c r="H146" s="1">
        <v>4811</v>
      </c>
      <c r="I146" s="1" t="s">
        <v>437</v>
      </c>
      <c r="J146">
        <v>6</v>
      </c>
      <c r="K146" t="s">
        <v>436</v>
      </c>
      <c r="L146">
        <v>93</v>
      </c>
      <c r="M146" t="s">
        <v>445</v>
      </c>
    </row>
    <row r="147" spans="1:13" x14ac:dyDescent="0.45">
      <c r="A147" t="s">
        <v>178</v>
      </c>
      <c r="B147" t="s">
        <v>19</v>
      </c>
      <c r="C147" t="s">
        <v>40</v>
      </c>
      <c r="D147" t="s">
        <v>31</v>
      </c>
      <c r="E147" t="s">
        <v>17</v>
      </c>
      <c r="F147">
        <v>45</v>
      </c>
      <c r="G147" t="s">
        <v>441</v>
      </c>
      <c r="H147" s="1">
        <v>2950</v>
      </c>
      <c r="I147" s="1" t="s">
        <v>434</v>
      </c>
      <c r="J147">
        <v>4</v>
      </c>
      <c r="K147" t="s">
        <v>436</v>
      </c>
      <c r="L147">
        <v>94</v>
      </c>
      <c r="M147" t="s">
        <v>433</v>
      </c>
    </row>
    <row r="148" spans="1:13" x14ac:dyDescent="0.45">
      <c r="A148" t="s">
        <v>179</v>
      </c>
      <c r="B148" t="s">
        <v>44</v>
      </c>
      <c r="C148" t="s">
        <v>23</v>
      </c>
      <c r="D148" t="s">
        <v>27</v>
      </c>
      <c r="E148" t="s">
        <v>17</v>
      </c>
      <c r="F148">
        <v>50</v>
      </c>
      <c r="G148" t="s">
        <v>441</v>
      </c>
      <c r="H148" s="1">
        <v>1947</v>
      </c>
      <c r="I148" s="1" t="s">
        <v>434</v>
      </c>
      <c r="J148">
        <v>2</v>
      </c>
      <c r="K148" t="s">
        <v>464</v>
      </c>
      <c r="L148">
        <v>56</v>
      </c>
      <c r="M148" t="s">
        <v>439</v>
      </c>
    </row>
    <row r="149" spans="1:13" x14ac:dyDescent="0.45">
      <c r="A149" t="s">
        <v>180</v>
      </c>
      <c r="B149" t="s">
        <v>22</v>
      </c>
      <c r="C149" t="s">
        <v>23</v>
      </c>
      <c r="D149" t="s">
        <v>16</v>
      </c>
      <c r="E149" t="s">
        <v>17</v>
      </c>
      <c r="F149">
        <v>38</v>
      </c>
      <c r="G149" t="s">
        <v>446</v>
      </c>
      <c r="H149" s="1">
        <v>1632</v>
      </c>
      <c r="I149" s="1" t="s">
        <v>434</v>
      </c>
      <c r="J149">
        <v>2</v>
      </c>
      <c r="K149" t="s">
        <v>464</v>
      </c>
      <c r="L149">
        <v>51</v>
      </c>
      <c r="M149" t="s">
        <v>439</v>
      </c>
    </row>
    <row r="150" spans="1:13" x14ac:dyDescent="0.45">
      <c r="A150" t="s">
        <v>181</v>
      </c>
      <c r="B150" t="s">
        <v>49</v>
      </c>
      <c r="C150" t="s">
        <v>23</v>
      </c>
      <c r="D150" t="s">
        <v>27</v>
      </c>
      <c r="E150" t="s">
        <v>17</v>
      </c>
      <c r="F150">
        <v>88</v>
      </c>
      <c r="G150" t="s">
        <v>438</v>
      </c>
      <c r="H150" s="1">
        <v>1793</v>
      </c>
      <c r="I150" s="1" t="s">
        <v>434</v>
      </c>
      <c r="J150">
        <v>3</v>
      </c>
      <c r="K150" t="s">
        <v>464</v>
      </c>
      <c r="L150">
        <v>53</v>
      </c>
      <c r="M150" t="s">
        <v>439</v>
      </c>
    </row>
    <row r="151" spans="1:13" x14ac:dyDescent="0.45">
      <c r="A151" t="s">
        <v>182</v>
      </c>
      <c r="B151" t="s">
        <v>19</v>
      </c>
      <c r="C151" t="s">
        <v>23</v>
      </c>
      <c r="D151" t="s">
        <v>27</v>
      </c>
      <c r="E151" t="s">
        <v>13</v>
      </c>
      <c r="F151">
        <v>30</v>
      </c>
      <c r="G151" t="s">
        <v>446</v>
      </c>
      <c r="H151" s="1">
        <v>1443</v>
      </c>
      <c r="I151" s="1" t="s">
        <v>434</v>
      </c>
      <c r="J151">
        <v>2</v>
      </c>
      <c r="K151" t="s">
        <v>464</v>
      </c>
      <c r="L151">
        <v>64</v>
      </c>
      <c r="M151" t="s">
        <v>439</v>
      </c>
    </row>
    <row r="152" spans="1:13" x14ac:dyDescent="0.45">
      <c r="A152" t="s">
        <v>183</v>
      </c>
      <c r="B152" t="s">
        <v>10</v>
      </c>
      <c r="C152" t="s">
        <v>40</v>
      </c>
      <c r="D152" t="s">
        <v>16</v>
      </c>
      <c r="E152" t="s">
        <v>17</v>
      </c>
      <c r="F152">
        <v>85</v>
      </c>
      <c r="G152" t="s">
        <v>438</v>
      </c>
      <c r="H152" s="1">
        <v>1620</v>
      </c>
      <c r="I152" s="1" t="s">
        <v>434</v>
      </c>
      <c r="J152">
        <v>1</v>
      </c>
      <c r="K152" t="s">
        <v>464</v>
      </c>
      <c r="L152">
        <v>90</v>
      </c>
      <c r="M152" t="s">
        <v>433</v>
      </c>
    </row>
    <row r="153" spans="1:13" s="2" customFormat="1" x14ac:dyDescent="0.45">
      <c r="A153" s="2" t="s">
        <v>184</v>
      </c>
      <c r="B153" s="2" t="s">
        <v>10</v>
      </c>
      <c r="C153" s="2" t="s">
        <v>11</v>
      </c>
      <c r="D153" s="2" t="s">
        <v>27</v>
      </c>
      <c r="E153" s="2" t="s">
        <v>13</v>
      </c>
      <c r="F153" s="2">
        <v>5</v>
      </c>
      <c r="G153" s="2" t="s">
        <v>450</v>
      </c>
      <c r="H153" s="3">
        <v>14495</v>
      </c>
      <c r="I153" s="3" t="s">
        <v>451</v>
      </c>
      <c r="J153" s="2">
        <v>10</v>
      </c>
      <c r="K153" s="2" t="s">
        <v>443</v>
      </c>
      <c r="L153" s="2">
        <v>96</v>
      </c>
      <c r="M153" s="2" t="s">
        <v>439</v>
      </c>
    </row>
    <row r="154" spans="1:13" x14ac:dyDescent="0.45">
      <c r="A154" t="s">
        <v>185</v>
      </c>
      <c r="B154" t="s">
        <v>22</v>
      </c>
      <c r="C154" t="s">
        <v>11</v>
      </c>
      <c r="D154" t="s">
        <v>27</v>
      </c>
      <c r="E154" t="s">
        <v>17</v>
      </c>
      <c r="F154">
        <v>54</v>
      </c>
      <c r="G154" t="s">
        <v>441</v>
      </c>
      <c r="H154" s="1">
        <v>7877</v>
      </c>
      <c r="I154" s="1" t="s">
        <v>448</v>
      </c>
      <c r="J154">
        <v>8</v>
      </c>
      <c r="K154" t="s">
        <v>440</v>
      </c>
      <c r="L154">
        <v>58</v>
      </c>
      <c r="M154" t="s">
        <v>439</v>
      </c>
    </row>
    <row r="155" spans="1:13" x14ac:dyDescent="0.45">
      <c r="A155" t="s">
        <v>186</v>
      </c>
      <c r="B155" t="s">
        <v>49</v>
      </c>
      <c r="C155" t="s">
        <v>26</v>
      </c>
      <c r="D155" t="s">
        <v>20</v>
      </c>
      <c r="E155" t="s">
        <v>13</v>
      </c>
      <c r="F155">
        <v>35</v>
      </c>
      <c r="G155" t="s">
        <v>446</v>
      </c>
      <c r="H155" s="1">
        <v>2347</v>
      </c>
      <c r="I155" s="1" t="s">
        <v>434</v>
      </c>
      <c r="J155">
        <v>6</v>
      </c>
      <c r="K155" t="s">
        <v>436</v>
      </c>
      <c r="L155">
        <v>80</v>
      </c>
      <c r="M155" t="s">
        <v>445</v>
      </c>
    </row>
    <row r="156" spans="1:13" x14ac:dyDescent="0.45">
      <c r="A156" t="s">
        <v>187</v>
      </c>
      <c r="B156" t="s">
        <v>49</v>
      </c>
      <c r="C156" t="s">
        <v>26</v>
      </c>
      <c r="D156" t="s">
        <v>29</v>
      </c>
      <c r="E156" t="s">
        <v>13</v>
      </c>
      <c r="F156">
        <v>60</v>
      </c>
      <c r="G156" t="s">
        <v>441</v>
      </c>
      <c r="H156" s="1">
        <v>1616</v>
      </c>
      <c r="I156" s="1" t="s">
        <v>434</v>
      </c>
      <c r="J156">
        <v>4</v>
      </c>
      <c r="K156" t="s">
        <v>436</v>
      </c>
      <c r="L156">
        <v>98</v>
      </c>
      <c r="M156" t="s">
        <v>433</v>
      </c>
    </row>
    <row r="157" spans="1:13" x14ac:dyDescent="0.45">
      <c r="A157" t="s">
        <v>188</v>
      </c>
      <c r="B157" t="s">
        <v>22</v>
      </c>
      <c r="C157" t="s">
        <v>23</v>
      </c>
      <c r="D157" t="s">
        <v>20</v>
      </c>
      <c r="E157" t="s">
        <v>17</v>
      </c>
      <c r="F157">
        <v>51</v>
      </c>
      <c r="G157" t="s">
        <v>441</v>
      </c>
      <c r="H157" s="1">
        <v>228</v>
      </c>
      <c r="I157" s="1" t="s">
        <v>434</v>
      </c>
      <c r="J157">
        <v>2</v>
      </c>
      <c r="K157" t="s">
        <v>464</v>
      </c>
      <c r="L157">
        <v>84</v>
      </c>
      <c r="M157" t="s">
        <v>445</v>
      </c>
    </row>
    <row r="158" spans="1:13" x14ac:dyDescent="0.45">
      <c r="A158" t="s">
        <v>189</v>
      </c>
      <c r="B158" t="s">
        <v>15</v>
      </c>
      <c r="C158" t="s">
        <v>23</v>
      </c>
      <c r="D158" t="s">
        <v>29</v>
      </c>
      <c r="E158" t="s">
        <v>13</v>
      </c>
      <c r="F158">
        <v>87</v>
      </c>
      <c r="G158" t="s">
        <v>438</v>
      </c>
      <c r="H158" s="1">
        <v>736</v>
      </c>
      <c r="I158" s="1" t="s">
        <v>434</v>
      </c>
      <c r="J158">
        <v>3</v>
      </c>
      <c r="K158" t="s">
        <v>464</v>
      </c>
      <c r="L158">
        <v>74</v>
      </c>
      <c r="M158" t="s">
        <v>445</v>
      </c>
    </row>
    <row r="159" spans="1:13" x14ac:dyDescent="0.45">
      <c r="A159" t="s">
        <v>190</v>
      </c>
      <c r="B159" t="s">
        <v>49</v>
      </c>
      <c r="C159" t="s">
        <v>26</v>
      </c>
      <c r="D159" t="s">
        <v>31</v>
      </c>
      <c r="E159" t="s">
        <v>13</v>
      </c>
      <c r="F159">
        <v>61</v>
      </c>
      <c r="G159" t="s">
        <v>438</v>
      </c>
      <c r="H159" s="1">
        <v>1205</v>
      </c>
      <c r="I159" s="1" t="s">
        <v>434</v>
      </c>
      <c r="J159">
        <v>10</v>
      </c>
      <c r="K159" t="s">
        <v>443</v>
      </c>
      <c r="L159">
        <v>70</v>
      </c>
      <c r="M159" t="s">
        <v>439</v>
      </c>
    </row>
    <row r="160" spans="1:13" x14ac:dyDescent="0.45">
      <c r="A160" t="s">
        <v>191</v>
      </c>
      <c r="B160" t="s">
        <v>19</v>
      </c>
      <c r="C160" t="s">
        <v>40</v>
      </c>
      <c r="D160" t="s">
        <v>31</v>
      </c>
      <c r="E160" t="s">
        <v>13</v>
      </c>
      <c r="F160">
        <v>60</v>
      </c>
      <c r="G160" t="s">
        <v>441</v>
      </c>
      <c r="H160" s="1">
        <v>2975</v>
      </c>
      <c r="I160" s="1" t="s">
        <v>434</v>
      </c>
      <c r="J160">
        <v>4</v>
      </c>
      <c r="K160" t="s">
        <v>436</v>
      </c>
      <c r="L160">
        <v>57</v>
      </c>
      <c r="M160" t="s">
        <v>439</v>
      </c>
    </row>
    <row r="161" spans="1:13" x14ac:dyDescent="0.45">
      <c r="A161" t="s">
        <v>192</v>
      </c>
      <c r="B161" t="s">
        <v>22</v>
      </c>
      <c r="C161" t="s">
        <v>11</v>
      </c>
      <c r="D161" t="s">
        <v>12</v>
      </c>
      <c r="E161" t="s">
        <v>17</v>
      </c>
      <c r="F161">
        <v>64</v>
      </c>
      <c r="G161" t="s">
        <v>438</v>
      </c>
      <c r="H161" s="1">
        <v>6902</v>
      </c>
      <c r="I161" s="1" t="s">
        <v>437</v>
      </c>
      <c r="J161">
        <v>6</v>
      </c>
      <c r="K161" t="s">
        <v>436</v>
      </c>
      <c r="L161">
        <v>65</v>
      </c>
      <c r="M161" t="s">
        <v>439</v>
      </c>
    </row>
    <row r="162" spans="1:13" x14ac:dyDescent="0.45">
      <c r="A162" t="s">
        <v>193</v>
      </c>
      <c r="B162" t="s">
        <v>19</v>
      </c>
      <c r="C162" t="s">
        <v>40</v>
      </c>
      <c r="D162" t="s">
        <v>47</v>
      </c>
      <c r="E162" t="s">
        <v>17</v>
      </c>
      <c r="F162">
        <v>86</v>
      </c>
      <c r="G162" t="s">
        <v>438</v>
      </c>
      <c r="H162" s="1">
        <v>4925</v>
      </c>
      <c r="I162" s="1" t="s">
        <v>437</v>
      </c>
      <c r="J162">
        <v>4</v>
      </c>
      <c r="K162" t="s">
        <v>436</v>
      </c>
      <c r="L162">
        <v>87</v>
      </c>
      <c r="M162" t="s">
        <v>433</v>
      </c>
    </row>
    <row r="163" spans="1:13" x14ac:dyDescent="0.45">
      <c r="A163" t="s">
        <v>194</v>
      </c>
      <c r="B163" t="s">
        <v>10</v>
      </c>
      <c r="C163" t="s">
        <v>40</v>
      </c>
      <c r="D163" t="s">
        <v>47</v>
      </c>
      <c r="E163" t="s">
        <v>13</v>
      </c>
      <c r="F163">
        <v>63</v>
      </c>
      <c r="G163" t="s">
        <v>438</v>
      </c>
      <c r="H163" s="1">
        <v>3843</v>
      </c>
      <c r="I163" s="1" t="s">
        <v>437</v>
      </c>
      <c r="J163">
        <v>3</v>
      </c>
      <c r="K163" t="s">
        <v>464</v>
      </c>
      <c r="L163">
        <v>52</v>
      </c>
      <c r="M163" t="s">
        <v>439</v>
      </c>
    </row>
    <row r="164" spans="1:13" x14ac:dyDescent="0.45">
      <c r="A164" t="s">
        <v>195</v>
      </c>
      <c r="B164" t="s">
        <v>10</v>
      </c>
      <c r="C164" t="s">
        <v>26</v>
      </c>
      <c r="D164" t="s">
        <v>60</v>
      </c>
      <c r="E164" t="s">
        <v>17</v>
      </c>
      <c r="F164">
        <v>31</v>
      </c>
      <c r="G164" t="s">
        <v>446</v>
      </c>
      <c r="H164" s="1">
        <v>3971</v>
      </c>
      <c r="I164" s="1" t="s">
        <v>437</v>
      </c>
      <c r="J164">
        <v>3</v>
      </c>
      <c r="K164" t="s">
        <v>464</v>
      </c>
      <c r="L164">
        <v>93</v>
      </c>
      <c r="M164" t="s">
        <v>433</v>
      </c>
    </row>
    <row r="165" spans="1:13" x14ac:dyDescent="0.45">
      <c r="A165" t="s">
        <v>196</v>
      </c>
      <c r="B165" t="s">
        <v>44</v>
      </c>
      <c r="C165" t="s">
        <v>26</v>
      </c>
      <c r="D165" t="s">
        <v>12</v>
      </c>
      <c r="E165" t="s">
        <v>17</v>
      </c>
      <c r="F165">
        <v>25</v>
      </c>
      <c r="G165" t="s">
        <v>435</v>
      </c>
      <c r="H165" s="1">
        <v>2000</v>
      </c>
      <c r="I165" s="1" t="s">
        <v>434</v>
      </c>
      <c r="J165">
        <v>9</v>
      </c>
      <c r="K165" t="s">
        <v>440</v>
      </c>
      <c r="L165">
        <v>55</v>
      </c>
      <c r="M165" t="s">
        <v>439</v>
      </c>
    </row>
    <row r="166" spans="1:13" x14ac:dyDescent="0.45">
      <c r="A166" t="s">
        <v>197</v>
      </c>
      <c r="B166" t="s">
        <v>10</v>
      </c>
      <c r="C166" t="s">
        <v>40</v>
      </c>
      <c r="D166" t="s">
        <v>16</v>
      </c>
      <c r="E166" t="s">
        <v>13</v>
      </c>
      <c r="F166">
        <v>7</v>
      </c>
      <c r="G166" t="s">
        <v>449</v>
      </c>
      <c r="H166" s="1">
        <v>3232</v>
      </c>
      <c r="I166" s="1" t="s">
        <v>437</v>
      </c>
      <c r="J166">
        <v>2</v>
      </c>
      <c r="K166" t="s">
        <v>464</v>
      </c>
      <c r="L166">
        <v>58</v>
      </c>
      <c r="M166" t="s">
        <v>439</v>
      </c>
    </row>
    <row r="167" spans="1:13" x14ac:dyDescent="0.45">
      <c r="A167" t="s">
        <v>198</v>
      </c>
      <c r="B167" t="s">
        <v>49</v>
      </c>
      <c r="C167" t="s">
        <v>40</v>
      </c>
      <c r="D167" t="s">
        <v>31</v>
      </c>
      <c r="E167" t="s">
        <v>13</v>
      </c>
      <c r="F167">
        <v>71</v>
      </c>
      <c r="G167" t="s">
        <v>438</v>
      </c>
      <c r="H167" s="1">
        <v>2197</v>
      </c>
      <c r="I167" s="1" t="s">
        <v>434</v>
      </c>
      <c r="J167">
        <v>5</v>
      </c>
      <c r="K167" t="s">
        <v>436</v>
      </c>
      <c r="L167">
        <v>63</v>
      </c>
      <c r="M167" t="s">
        <v>439</v>
      </c>
    </row>
    <row r="168" spans="1:13" x14ac:dyDescent="0.45">
      <c r="A168" t="s">
        <v>199</v>
      </c>
      <c r="B168" t="s">
        <v>49</v>
      </c>
      <c r="C168" t="s">
        <v>40</v>
      </c>
      <c r="D168" t="s">
        <v>29</v>
      </c>
      <c r="E168" t="s">
        <v>13</v>
      </c>
      <c r="F168">
        <v>77</v>
      </c>
      <c r="G168" t="s">
        <v>438</v>
      </c>
      <c r="H168" s="1">
        <v>523</v>
      </c>
      <c r="I168" s="1" t="s">
        <v>434</v>
      </c>
      <c r="J168">
        <v>3</v>
      </c>
      <c r="K168" t="s">
        <v>464</v>
      </c>
      <c r="L168">
        <v>59</v>
      </c>
      <c r="M168" t="s">
        <v>439</v>
      </c>
    </row>
    <row r="169" spans="1:13" x14ac:dyDescent="0.45">
      <c r="A169" t="s">
        <v>200</v>
      </c>
      <c r="B169" t="s">
        <v>22</v>
      </c>
      <c r="C169" t="s">
        <v>26</v>
      </c>
      <c r="D169" t="s">
        <v>42</v>
      </c>
      <c r="E169" t="s">
        <v>17</v>
      </c>
      <c r="F169">
        <v>4</v>
      </c>
      <c r="G169" t="s">
        <v>450</v>
      </c>
      <c r="H169" s="1">
        <v>2079</v>
      </c>
      <c r="I169" s="1" t="s">
        <v>434</v>
      </c>
      <c r="J169">
        <v>2</v>
      </c>
      <c r="K169" t="s">
        <v>464</v>
      </c>
      <c r="L169">
        <v>72</v>
      </c>
      <c r="M169" t="s">
        <v>445</v>
      </c>
    </row>
    <row r="170" spans="1:13" x14ac:dyDescent="0.45">
      <c r="A170" t="s">
        <v>201</v>
      </c>
      <c r="B170" t="s">
        <v>49</v>
      </c>
      <c r="C170" t="s">
        <v>40</v>
      </c>
      <c r="D170" t="s">
        <v>16</v>
      </c>
      <c r="E170" t="s">
        <v>17</v>
      </c>
      <c r="F170">
        <v>23</v>
      </c>
      <c r="G170" t="s">
        <v>435</v>
      </c>
      <c r="H170" s="1">
        <v>2673</v>
      </c>
      <c r="I170" s="1" t="s">
        <v>434</v>
      </c>
      <c r="J170">
        <v>1</v>
      </c>
      <c r="K170" t="s">
        <v>464</v>
      </c>
      <c r="L170">
        <v>58</v>
      </c>
      <c r="M170" t="s">
        <v>439</v>
      </c>
    </row>
    <row r="171" spans="1:13" x14ac:dyDescent="0.45">
      <c r="A171" t="s">
        <v>202</v>
      </c>
      <c r="B171" t="s">
        <v>10</v>
      </c>
      <c r="C171" t="s">
        <v>23</v>
      </c>
      <c r="D171" t="s">
        <v>20</v>
      </c>
      <c r="E171" t="s">
        <v>17</v>
      </c>
      <c r="F171">
        <v>9</v>
      </c>
      <c r="G171" t="s">
        <v>449</v>
      </c>
      <c r="H171" s="1">
        <v>1175</v>
      </c>
      <c r="I171" s="1" t="s">
        <v>434</v>
      </c>
      <c r="J171">
        <v>2</v>
      </c>
      <c r="K171" t="s">
        <v>464</v>
      </c>
      <c r="L171">
        <v>99</v>
      </c>
      <c r="M171" t="s">
        <v>433</v>
      </c>
    </row>
    <row r="172" spans="1:13" x14ac:dyDescent="0.45">
      <c r="A172" t="s">
        <v>203</v>
      </c>
      <c r="B172" t="s">
        <v>44</v>
      </c>
      <c r="C172" t="s">
        <v>11</v>
      </c>
      <c r="D172" t="s">
        <v>34</v>
      </c>
      <c r="E172" t="s">
        <v>13</v>
      </c>
      <c r="F172">
        <v>79</v>
      </c>
      <c r="G172" t="s">
        <v>438</v>
      </c>
      <c r="H172" s="1">
        <v>5710</v>
      </c>
      <c r="I172" s="1" t="s">
        <v>437</v>
      </c>
      <c r="J172">
        <v>15</v>
      </c>
      <c r="K172" t="s">
        <v>463</v>
      </c>
      <c r="L172">
        <v>83</v>
      </c>
      <c r="M172" t="s">
        <v>442</v>
      </c>
    </row>
    <row r="173" spans="1:13" x14ac:dyDescent="0.45">
      <c r="A173" t="s">
        <v>204</v>
      </c>
      <c r="B173" t="s">
        <v>44</v>
      </c>
      <c r="C173" t="s">
        <v>23</v>
      </c>
      <c r="D173" t="s">
        <v>12</v>
      </c>
      <c r="E173" t="s">
        <v>17</v>
      </c>
      <c r="F173">
        <v>62</v>
      </c>
      <c r="G173" t="s">
        <v>438</v>
      </c>
      <c r="H173" s="1">
        <v>1935</v>
      </c>
      <c r="I173" s="1" t="s">
        <v>434</v>
      </c>
      <c r="J173">
        <v>2</v>
      </c>
      <c r="K173" t="s">
        <v>464</v>
      </c>
      <c r="L173">
        <v>77</v>
      </c>
      <c r="M173" t="s">
        <v>445</v>
      </c>
    </row>
    <row r="174" spans="1:13" x14ac:dyDescent="0.45">
      <c r="A174" t="s">
        <v>205</v>
      </c>
      <c r="B174" t="s">
        <v>10</v>
      </c>
      <c r="C174" t="s">
        <v>11</v>
      </c>
      <c r="D174" t="s">
        <v>34</v>
      </c>
      <c r="E174" t="s">
        <v>13</v>
      </c>
      <c r="F174">
        <v>57</v>
      </c>
      <c r="G174" t="s">
        <v>441</v>
      </c>
      <c r="H174" s="1">
        <v>6204</v>
      </c>
      <c r="I174" s="1" t="s">
        <v>437</v>
      </c>
      <c r="J174">
        <v>6</v>
      </c>
      <c r="K174" t="s">
        <v>436</v>
      </c>
      <c r="L174">
        <v>70</v>
      </c>
      <c r="M174" t="s">
        <v>445</v>
      </c>
    </row>
    <row r="175" spans="1:13" x14ac:dyDescent="0.45">
      <c r="A175" t="s">
        <v>206</v>
      </c>
      <c r="B175" t="s">
        <v>19</v>
      </c>
      <c r="C175" t="s">
        <v>40</v>
      </c>
      <c r="D175" t="s">
        <v>31</v>
      </c>
      <c r="E175" t="s">
        <v>17</v>
      </c>
      <c r="F175">
        <v>80</v>
      </c>
      <c r="G175" t="s">
        <v>438</v>
      </c>
      <c r="H175" s="1">
        <v>4992</v>
      </c>
      <c r="I175" s="1" t="s">
        <v>437</v>
      </c>
      <c r="J175">
        <v>3</v>
      </c>
      <c r="K175" t="s">
        <v>464</v>
      </c>
      <c r="L175">
        <v>74</v>
      </c>
      <c r="M175" t="s">
        <v>445</v>
      </c>
    </row>
    <row r="176" spans="1:13" x14ac:dyDescent="0.45">
      <c r="A176" t="s">
        <v>207</v>
      </c>
      <c r="B176" t="s">
        <v>19</v>
      </c>
      <c r="C176" t="s">
        <v>26</v>
      </c>
      <c r="D176" t="s">
        <v>34</v>
      </c>
      <c r="E176" t="s">
        <v>13</v>
      </c>
      <c r="F176">
        <v>56</v>
      </c>
      <c r="G176" t="s">
        <v>441</v>
      </c>
      <c r="H176" s="1">
        <v>1812</v>
      </c>
      <c r="I176" s="1" t="s">
        <v>434</v>
      </c>
      <c r="J176">
        <v>3</v>
      </c>
      <c r="K176" t="s">
        <v>464</v>
      </c>
      <c r="L176">
        <v>91</v>
      </c>
      <c r="M176" t="s">
        <v>433</v>
      </c>
    </row>
    <row r="177" spans="1:13" x14ac:dyDescent="0.45">
      <c r="A177" t="s">
        <v>208</v>
      </c>
      <c r="B177" t="s">
        <v>10</v>
      </c>
      <c r="C177" t="s">
        <v>40</v>
      </c>
      <c r="D177" t="s">
        <v>47</v>
      </c>
      <c r="E177" t="s">
        <v>17</v>
      </c>
      <c r="F177">
        <v>30</v>
      </c>
      <c r="G177" t="s">
        <v>446</v>
      </c>
      <c r="H177" s="1">
        <v>3889</v>
      </c>
      <c r="I177" s="1" t="s">
        <v>437</v>
      </c>
      <c r="J177">
        <v>3</v>
      </c>
      <c r="K177" t="s">
        <v>464</v>
      </c>
      <c r="L177">
        <v>79</v>
      </c>
      <c r="M177" t="s">
        <v>445</v>
      </c>
    </row>
    <row r="178" spans="1:13" x14ac:dyDescent="0.45">
      <c r="A178" t="s">
        <v>209</v>
      </c>
      <c r="B178" t="s">
        <v>25</v>
      </c>
      <c r="C178" t="s">
        <v>23</v>
      </c>
      <c r="D178" t="s">
        <v>31</v>
      </c>
      <c r="E178" t="s">
        <v>17</v>
      </c>
      <c r="F178">
        <v>41</v>
      </c>
      <c r="G178" t="s">
        <v>446</v>
      </c>
      <c r="H178" s="1">
        <v>1562</v>
      </c>
      <c r="I178" s="1" t="s">
        <v>434</v>
      </c>
      <c r="J178">
        <v>2</v>
      </c>
      <c r="K178" t="s">
        <v>464</v>
      </c>
      <c r="L178">
        <v>73</v>
      </c>
      <c r="M178" t="s">
        <v>445</v>
      </c>
    </row>
    <row r="179" spans="1:13" x14ac:dyDescent="0.45">
      <c r="A179" t="s">
        <v>210</v>
      </c>
      <c r="B179" t="s">
        <v>22</v>
      </c>
      <c r="C179" t="s">
        <v>23</v>
      </c>
      <c r="D179" t="s">
        <v>31</v>
      </c>
      <c r="E179" t="s">
        <v>17</v>
      </c>
      <c r="F179">
        <v>11</v>
      </c>
      <c r="G179" t="s">
        <v>449</v>
      </c>
      <c r="H179" s="1">
        <v>390</v>
      </c>
      <c r="I179" s="1" t="s">
        <v>434</v>
      </c>
      <c r="J179">
        <v>2</v>
      </c>
      <c r="K179" t="s">
        <v>464</v>
      </c>
      <c r="L179">
        <v>56</v>
      </c>
      <c r="M179" t="s">
        <v>439</v>
      </c>
    </row>
    <row r="180" spans="1:13" x14ac:dyDescent="0.45">
      <c r="A180" t="s">
        <v>211</v>
      </c>
      <c r="B180" t="s">
        <v>10</v>
      </c>
      <c r="C180" t="s">
        <v>26</v>
      </c>
      <c r="D180" t="s">
        <v>42</v>
      </c>
      <c r="E180" t="s">
        <v>13</v>
      </c>
      <c r="F180">
        <v>76</v>
      </c>
      <c r="G180" t="s">
        <v>438</v>
      </c>
      <c r="H180" s="1">
        <v>5600</v>
      </c>
      <c r="I180" s="1" t="s">
        <v>437</v>
      </c>
      <c r="J180">
        <v>10</v>
      </c>
      <c r="K180" t="s">
        <v>443</v>
      </c>
      <c r="L180">
        <v>71</v>
      </c>
      <c r="M180" t="s">
        <v>439</v>
      </c>
    </row>
    <row r="181" spans="1:13" x14ac:dyDescent="0.45">
      <c r="A181" t="s">
        <v>212</v>
      </c>
      <c r="B181" t="s">
        <v>10</v>
      </c>
      <c r="C181" t="s">
        <v>11</v>
      </c>
      <c r="D181" t="s">
        <v>47</v>
      </c>
      <c r="E181" t="s">
        <v>17</v>
      </c>
      <c r="F181">
        <v>86</v>
      </c>
      <c r="G181" t="s">
        <v>438</v>
      </c>
      <c r="H181" s="1">
        <v>17292</v>
      </c>
      <c r="I181" s="1" t="s">
        <v>444</v>
      </c>
      <c r="J181">
        <v>11</v>
      </c>
      <c r="K181" t="s">
        <v>443</v>
      </c>
      <c r="L181">
        <v>96</v>
      </c>
      <c r="M181" t="s">
        <v>439</v>
      </c>
    </row>
    <row r="182" spans="1:13" x14ac:dyDescent="0.45">
      <c r="A182" t="s">
        <v>213</v>
      </c>
      <c r="B182" t="s">
        <v>15</v>
      </c>
      <c r="C182" t="s">
        <v>26</v>
      </c>
      <c r="D182" t="s">
        <v>16</v>
      </c>
      <c r="E182" t="s">
        <v>17</v>
      </c>
      <c r="F182">
        <v>14</v>
      </c>
      <c r="G182" t="s">
        <v>447</v>
      </c>
      <c r="H182" s="1">
        <v>5734</v>
      </c>
      <c r="I182" s="1" t="s">
        <v>437</v>
      </c>
      <c r="J182">
        <v>10</v>
      </c>
      <c r="K182" t="s">
        <v>443</v>
      </c>
      <c r="L182">
        <v>63</v>
      </c>
      <c r="M182" t="s">
        <v>439</v>
      </c>
    </row>
    <row r="183" spans="1:13" x14ac:dyDescent="0.45">
      <c r="A183" t="s">
        <v>214</v>
      </c>
      <c r="B183" t="s">
        <v>22</v>
      </c>
      <c r="C183" t="s">
        <v>23</v>
      </c>
      <c r="D183" t="s">
        <v>60</v>
      </c>
      <c r="E183" t="s">
        <v>13</v>
      </c>
      <c r="F183">
        <v>45</v>
      </c>
      <c r="G183" t="s">
        <v>441</v>
      </c>
      <c r="H183" s="1">
        <v>1931</v>
      </c>
      <c r="I183" s="1" t="s">
        <v>434</v>
      </c>
      <c r="J183">
        <v>3</v>
      </c>
      <c r="K183" t="s">
        <v>464</v>
      </c>
      <c r="L183">
        <v>73</v>
      </c>
      <c r="M183" t="s">
        <v>445</v>
      </c>
    </row>
    <row r="184" spans="1:13" x14ac:dyDescent="0.45">
      <c r="A184" t="s">
        <v>215</v>
      </c>
      <c r="B184" t="s">
        <v>15</v>
      </c>
      <c r="C184" t="s">
        <v>26</v>
      </c>
      <c r="D184" t="s">
        <v>16</v>
      </c>
      <c r="E184" t="s">
        <v>17</v>
      </c>
      <c r="F184">
        <v>55</v>
      </c>
      <c r="G184" t="s">
        <v>441</v>
      </c>
      <c r="H184" s="1">
        <v>5595</v>
      </c>
      <c r="I184" s="1" t="s">
        <v>437</v>
      </c>
      <c r="J184">
        <v>10</v>
      </c>
      <c r="K184" t="s">
        <v>443</v>
      </c>
      <c r="L184">
        <v>51</v>
      </c>
      <c r="M184" t="s">
        <v>439</v>
      </c>
    </row>
    <row r="185" spans="1:13" x14ac:dyDescent="0.45">
      <c r="A185" t="s">
        <v>216</v>
      </c>
      <c r="B185" t="s">
        <v>19</v>
      </c>
      <c r="C185" t="s">
        <v>26</v>
      </c>
      <c r="D185" t="s">
        <v>12</v>
      </c>
      <c r="E185" t="s">
        <v>17</v>
      </c>
      <c r="F185">
        <v>90</v>
      </c>
      <c r="G185" t="s">
        <v>438</v>
      </c>
      <c r="H185" s="1">
        <v>3531</v>
      </c>
      <c r="I185" s="1" t="s">
        <v>437</v>
      </c>
      <c r="J185">
        <v>7</v>
      </c>
      <c r="K185" t="s">
        <v>440</v>
      </c>
      <c r="L185">
        <v>72</v>
      </c>
      <c r="M185" t="s">
        <v>445</v>
      </c>
    </row>
    <row r="186" spans="1:13" x14ac:dyDescent="0.45">
      <c r="A186" t="s">
        <v>217</v>
      </c>
      <c r="B186" t="s">
        <v>15</v>
      </c>
      <c r="C186" t="s">
        <v>40</v>
      </c>
      <c r="D186" t="s">
        <v>42</v>
      </c>
      <c r="E186" t="s">
        <v>13</v>
      </c>
      <c r="F186">
        <v>52</v>
      </c>
      <c r="G186" t="s">
        <v>441</v>
      </c>
      <c r="H186" s="1">
        <v>1070</v>
      </c>
      <c r="I186" s="1" t="s">
        <v>434</v>
      </c>
      <c r="J186">
        <v>2</v>
      </c>
      <c r="K186" t="s">
        <v>464</v>
      </c>
      <c r="L186">
        <v>97</v>
      </c>
      <c r="M186" t="s">
        <v>433</v>
      </c>
    </row>
    <row r="187" spans="1:13" x14ac:dyDescent="0.45">
      <c r="A187" t="s">
        <v>218</v>
      </c>
      <c r="B187" t="s">
        <v>10</v>
      </c>
      <c r="C187" t="s">
        <v>11</v>
      </c>
      <c r="D187" t="s">
        <v>31</v>
      </c>
      <c r="E187" t="s">
        <v>13</v>
      </c>
      <c r="F187">
        <v>28</v>
      </c>
      <c r="G187" t="s">
        <v>435</v>
      </c>
      <c r="H187" s="1">
        <v>11163</v>
      </c>
      <c r="I187" s="1" t="s">
        <v>451</v>
      </c>
      <c r="J187">
        <v>11</v>
      </c>
      <c r="K187" t="s">
        <v>443</v>
      </c>
      <c r="L187">
        <v>79</v>
      </c>
      <c r="M187" t="s">
        <v>439</v>
      </c>
    </row>
    <row r="188" spans="1:13" x14ac:dyDescent="0.45">
      <c r="A188" t="s">
        <v>219</v>
      </c>
      <c r="B188" t="s">
        <v>44</v>
      </c>
      <c r="C188" t="s">
        <v>40</v>
      </c>
      <c r="D188" t="s">
        <v>29</v>
      </c>
      <c r="E188" t="s">
        <v>17</v>
      </c>
      <c r="F188">
        <v>42</v>
      </c>
      <c r="G188" t="s">
        <v>446</v>
      </c>
      <c r="H188" s="1">
        <v>1195</v>
      </c>
      <c r="I188" s="1" t="s">
        <v>434</v>
      </c>
      <c r="J188">
        <v>1</v>
      </c>
      <c r="K188" t="s">
        <v>464</v>
      </c>
      <c r="L188">
        <v>59</v>
      </c>
      <c r="M188" t="s">
        <v>439</v>
      </c>
    </row>
    <row r="189" spans="1:13" x14ac:dyDescent="0.45">
      <c r="A189" t="s">
        <v>220</v>
      </c>
      <c r="B189" t="s">
        <v>22</v>
      </c>
      <c r="C189" t="s">
        <v>11</v>
      </c>
      <c r="D189" t="s">
        <v>31</v>
      </c>
      <c r="E189" t="s">
        <v>17</v>
      </c>
      <c r="F189">
        <v>85</v>
      </c>
      <c r="G189" t="s">
        <v>438</v>
      </c>
      <c r="H189" s="1">
        <v>11947</v>
      </c>
      <c r="I189" s="1" t="s">
        <v>451</v>
      </c>
      <c r="J189">
        <v>12</v>
      </c>
      <c r="K189" t="s">
        <v>443</v>
      </c>
      <c r="L189">
        <v>88</v>
      </c>
      <c r="M189" t="s">
        <v>439</v>
      </c>
    </row>
    <row r="190" spans="1:13" x14ac:dyDescent="0.45">
      <c r="A190" t="s">
        <v>221</v>
      </c>
      <c r="B190" t="s">
        <v>25</v>
      </c>
      <c r="C190" t="s">
        <v>23</v>
      </c>
      <c r="D190" t="s">
        <v>27</v>
      </c>
      <c r="E190" t="s">
        <v>17</v>
      </c>
      <c r="F190">
        <v>66</v>
      </c>
      <c r="G190" t="s">
        <v>438</v>
      </c>
      <c r="H190" s="1">
        <v>433</v>
      </c>
      <c r="I190" s="1" t="s">
        <v>434</v>
      </c>
      <c r="J190">
        <v>2</v>
      </c>
      <c r="K190" t="s">
        <v>464</v>
      </c>
      <c r="L190">
        <v>77</v>
      </c>
      <c r="M190" t="s">
        <v>445</v>
      </c>
    </row>
    <row r="191" spans="1:13" x14ac:dyDescent="0.45">
      <c r="A191" t="s">
        <v>222</v>
      </c>
      <c r="B191" t="s">
        <v>15</v>
      </c>
      <c r="C191" t="s">
        <v>26</v>
      </c>
      <c r="D191" t="s">
        <v>16</v>
      </c>
      <c r="E191" t="s">
        <v>17</v>
      </c>
      <c r="F191">
        <v>86</v>
      </c>
      <c r="G191" t="s">
        <v>438</v>
      </c>
      <c r="H191" s="1">
        <v>3526</v>
      </c>
      <c r="I191" s="1" t="s">
        <v>437</v>
      </c>
      <c r="J191">
        <v>2</v>
      </c>
      <c r="K191" t="s">
        <v>464</v>
      </c>
      <c r="L191">
        <v>64</v>
      </c>
      <c r="M191" t="s">
        <v>439</v>
      </c>
    </row>
    <row r="192" spans="1:13" x14ac:dyDescent="0.45">
      <c r="A192" t="s">
        <v>223</v>
      </c>
      <c r="B192" t="s">
        <v>25</v>
      </c>
      <c r="C192" t="s">
        <v>11</v>
      </c>
      <c r="D192" t="s">
        <v>12</v>
      </c>
      <c r="E192" t="s">
        <v>17</v>
      </c>
      <c r="F192">
        <v>28</v>
      </c>
      <c r="G192" t="s">
        <v>435</v>
      </c>
      <c r="H192" s="1">
        <v>17572</v>
      </c>
      <c r="I192" s="1" t="s">
        <v>444</v>
      </c>
      <c r="J192">
        <v>7</v>
      </c>
      <c r="K192" t="s">
        <v>440</v>
      </c>
      <c r="L192">
        <v>98</v>
      </c>
      <c r="M192" t="s">
        <v>445</v>
      </c>
    </row>
    <row r="193" spans="1:13" x14ac:dyDescent="0.45">
      <c r="A193" t="s">
        <v>224</v>
      </c>
      <c r="B193" t="s">
        <v>44</v>
      </c>
      <c r="C193" t="s">
        <v>26</v>
      </c>
      <c r="D193" t="s">
        <v>29</v>
      </c>
      <c r="E193" t="s">
        <v>17</v>
      </c>
      <c r="F193">
        <v>64</v>
      </c>
      <c r="G193" t="s">
        <v>438</v>
      </c>
      <c r="H193" s="1">
        <v>4527</v>
      </c>
      <c r="I193" s="1" t="s">
        <v>437</v>
      </c>
      <c r="J193">
        <v>4</v>
      </c>
      <c r="K193" t="s">
        <v>436</v>
      </c>
      <c r="L193">
        <v>58</v>
      </c>
      <c r="M193" t="s">
        <v>439</v>
      </c>
    </row>
    <row r="194" spans="1:13" x14ac:dyDescent="0.45">
      <c r="A194" t="s">
        <v>225</v>
      </c>
      <c r="B194" t="s">
        <v>25</v>
      </c>
      <c r="C194" t="s">
        <v>40</v>
      </c>
      <c r="D194" t="s">
        <v>20</v>
      </c>
      <c r="E194" t="s">
        <v>13</v>
      </c>
      <c r="F194">
        <v>86</v>
      </c>
      <c r="G194" t="s">
        <v>438</v>
      </c>
      <c r="H194" s="1">
        <v>3401</v>
      </c>
      <c r="I194" s="1" t="s">
        <v>437</v>
      </c>
      <c r="J194">
        <v>1</v>
      </c>
      <c r="K194" t="s">
        <v>464</v>
      </c>
      <c r="L194">
        <v>75</v>
      </c>
      <c r="M194" t="s">
        <v>445</v>
      </c>
    </row>
    <row r="195" spans="1:13" x14ac:dyDescent="0.45">
      <c r="A195" t="s">
        <v>226</v>
      </c>
      <c r="B195" t="s">
        <v>49</v>
      </c>
      <c r="C195" t="s">
        <v>11</v>
      </c>
      <c r="D195" t="s">
        <v>47</v>
      </c>
      <c r="E195" t="s">
        <v>17</v>
      </c>
      <c r="F195">
        <v>10</v>
      </c>
      <c r="G195" t="s">
        <v>449</v>
      </c>
      <c r="H195" s="1">
        <v>19124</v>
      </c>
      <c r="I195" s="1" t="s">
        <v>444</v>
      </c>
      <c r="J195">
        <v>10</v>
      </c>
      <c r="K195" t="s">
        <v>443</v>
      </c>
      <c r="L195">
        <v>86</v>
      </c>
      <c r="M195" t="s">
        <v>439</v>
      </c>
    </row>
    <row r="196" spans="1:13" x14ac:dyDescent="0.45">
      <c r="A196" t="s">
        <v>227</v>
      </c>
      <c r="B196" t="s">
        <v>25</v>
      </c>
      <c r="C196" t="s">
        <v>23</v>
      </c>
      <c r="D196" t="s">
        <v>47</v>
      </c>
      <c r="E196" t="s">
        <v>17</v>
      </c>
      <c r="F196">
        <v>52</v>
      </c>
      <c r="G196" t="s">
        <v>441</v>
      </c>
      <c r="H196" s="1">
        <v>242</v>
      </c>
      <c r="I196" s="1" t="s">
        <v>434</v>
      </c>
      <c r="J196">
        <v>2</v>
      </c>
      <c r="K196" t="s">
        <v>464</v>
      </c>
      <c r="L196">
        <v>60</v>
      </c>
      <c r="M196" t="s">
        <v>439</v>
      </c>
    </row>
    <row r="197" spans="1:13" x14ac:dyDescent="0.45">
      <c r="A197" t="s">
        <v>228</v>
      </c>
      <c r="B197" t="s">
        <v>49</v>
      </c>
      <c r="C197" t="s">
        <v>23</v>
      </c>
      <c r="D197" t="s">
        <v>29</v>
      </c>
      <c r="E197" t="s">
        <v>17</v>
      </c>
      <c r="F197">
        <v>14</v>
      </c>
      <c r="G197" t="s">
        <v>447</v>
      </c>
      <c r="H197" s="1">
        <v>698</v>
      </c>
      <c r="I197" s="1" t="s">
        <v>434</v>
      </c>
      <c r="J197">
        <v>2</v>
      </c>
      <c r="K197" t="s">
        <v>464</v>
      </c>
      <c r="L197">
        <v>87</v>
      </c>
      <c r="M197" t="s">
        <v>433</v>
      </c>
    </row>
    <row r="198" spans="1:13" x14ac:dyDescent="0.45">
      <c r="A198" t="s">
        <v>229</v>
      </c>
      <c r="B198" t="s">
        <v>25</v>
      </c>
      <c r="C198" t="s">
        <v>11</v>
      </c>
      <c r="D198" t="s">
        <v>47</v>
      </c>
      <c r="E198" t="s">
        <v>13</v>
      </c>
      <c r="F198">
        <v>44</v>
      </c>
      <c r="G198" t="s">
        <v>446</v>
      </c>
      <c r="H198" s="1">
        <v>8630</v>
      </c>
      <c r="I198" s="1" t="s">
        <v>448</v>
      </c>
      <c r="J198">
        <v>10</v>
      </c>
      <c r="K198" t="s">
        <v>443</v>
      </c>
      <c r="L198">
        <v>99</v>
      </c>
      <c r="M198" t="s">
        <v>439</v>
      </c>
    </row>
    <row r="199" spans="1:13" x14ac:dyDescent="0.45">
      <c r="A199" t="s">
        <v>230</v>
      </c>
      <c r="B199" t="s">
        <v>22</v>
      </c>
      <c r="C199" t="s">
        <v>11</v>
      </c>
      <c r="D199" t="s">
        <v>20</v>
      </c>
      <c r="E199" t="s">
        <v>13</v>
      </c>
      <c r="F199">
        <v>68</v>
      </c>
      <c r="G199" t="s">
        <v>438</v>
      </c>
      <c r="H199" s="1">
        <v>13355</v>
      </c>
      <c r="I199" s="1" t="s">
        <v>451</v>
      </c>
      <c r="J199">
        <v>8</v>
      </c>
      <c r="K199" t="s">
        <v>440</v>
      </c>
      <c r="L199">
        <v>99</v>
      </c>
      <c r="M199" t="s">
        <v>445</v>
      </c>
    </row>
    <row r="200" spans="1:13" x14ac:dyDescent="0.45">
      <c r="A200" t="s">
        <v>231</v>
      </c>
      <c r="B200" t="s">
        <v>44</v>
      </c>
      <c r="C200" t="s">
        <v>26</v>
      </c>
      <c r="D200" t="s">
        <v>42</v>
      </c>
      <c r="E200" t="s">
        <v>17</v>
      </c>
      <c r="F200">
        <v>19</v>
      </c>
      <c r="G200" t="s">
        <v>447</v>
      </c>
      <c r="H200" s="1">
        <v>3096</v>
      </c>
      <c r="I200" s="1" t="s">
        <v>437</v>
      </c>
      <c r="J200">
        <v>5</v>
      </c>
      <c r="K200" t="s">
        <v>436</v>
      </c>
      <c r="L200">
        <v>61</v>
      </c>
      <c r="M200" t="s">
        <v>439</v>
      </c>
    </row>
    <row r="201" spans="1:13" x14ac:dyDescent="0.45">
      <c r="A201" t="s">
        <v>232</v>
      </c>
      <c r="B201" t="s">
        <v>19</v>
      </c>
      <c r="C201" t="s">
        <v>40</v>
      </c>
      <c r="D201" t="s">
        <v>31</v>
      </c>
      <c r="E201" t="s">
        <v>17</v>
      </c>
      <c r="F201">
        <v>81</v>
      </c>
      <c r="G201" t="s">
        <v>438</v>
      </c>
      <c r="H201" s="1">
        <v>4547</v>
      </c>
      <c r="I201" s="1" t="s">
        <v>437</v>
      </c>
      <c r="J201">
        <v>4</v>
      </c>
      <c r="K201" t="s">
        <v>436</v>
      </c>
      <c r="L201">
        <v>98</v>
      </c>
      <c r="M201" t="s">
        <v>433</v>
      </c>
    </row>
    <row r="202" spans="1:13" x14ac:dyDescent="0.45">
      <c r="A202" t="s">
        <v>233</v>
      </c>
      <c r="B202" t="s">
        <v>19</v>
      </c>
      <c r="C202" t="s">
        <v>23</v>
      </c>
      <c r="D202" t="s">
        <v>16</v>
      </c>
      <c r="E202" t="s">
        <v>13</v>
      </c>
      <c r="F202">
        <v>80</v>
      </c>
      <c r="G202" t="s">
        <v>438</v>
      </c>
      <c r="H202" s="1">
        <v>861</v>
      </c>
      <c r="I202" s="1" t="s">
        <v>434</v>
      </c>
      <c r="J202">
        <v>3</v>
      </c>
      <c r="K202" t="s">
        <v>464</v>
      </c>
      <c r="L202">
        <v>70</v>
      </c>
      <c r="M202" t="s">
        <v>445</v>
      </c>
    </row>
    <row r="203" spans="1:13" x14ac:dyDescent="0.45">
      <c r="A203" t="s">
        <v>234</v>
      </c>
      <c r="B203" t="s">
        <v>22</v>
      </c>
      <c r="C203" t="s">
        <v>23</v>
      </c>
      <c r="D203" t="s">
        <v>31</v>
      </c>
      <c r="E203" t="s">
        <v>17</v>
      </c>
      <c r="F203">
        <v>81</v>
      </c>
      <c r="G203" t="s">
        <v>438</v>
      </c>
      <c r="H203" s="1">
        <v>820</v>
      </c>
      <c r="I203" s="1" t="s">
        <v>434</v>
      </c>
      <c r="J203">
        <v>2</v>
      </c>
      <c r="K203" t="s">
        <v>464</v>
      </c>
      <c r="L203">
        <v>87</v>
      </c>
      <c r="M203" t="s">
        <v>433</v>
      </c>
    </row>
    <row r="204" spans="1:13" x14ac:dyDescent="0.45">
      <c r="A204" t="s">
        <v>235</v>
      </c>
      <c r="B204" t="s">
        <v>15</v>
      </c>
      <c r="C204" t="s">
        <v>26</v>
      </c>
      <c r="D204" t="s">
        <v>20</v>
      </c>
      <c r="E204" t="s">
        <v>17</v>
      </c>
      <c r="F204">
        <v>60</v>
      </c>
      <c r="G204" t="s">
        <v>441</v>
      </c>
      <c r="H204" s="1">
        <v>4702</v>
      </c>
      <c r="I204" s="1" t="s">
        <v>437</v>
      </c>
      <c r="J204">
        <v>2</v>
      </c>
      <c r="K204" t="s">
        <v>464</v>
      </c>
      <c r="L204">
        <v>53</v>
      </c>
      <c r="M204" t="s">
        <v>439</v>
      </c>
    </row>
    <row r="205" spans="1:13" x14ac:dyDescent="0.45">
      <c r="A205" t="s">
        <v>236</v>
      </c>
      <c r="B205" t="s">
        <v>44</v>
      </c>
      <c r="C205" t="s">
        <v>26</v>
      </c>
      <c r="D205" t="s">
        <v>31</v>
      </c>
      <c r="E205" t="s">
        <v>13</v>
      </c>
      <c r="F205">
        <v>12</v>
      </c>
      <c r="G205" t="s">
        <v>449</v>
      </c>
      <c r="H205" s="1">
        <v>6038</v>
      </c>
      <c r="I205" s="1" t="s">
        <v>437</v>
      </c>
      <c r="J205">
        <v>10</v>
      </c>
      <c r="K205" t="s">
        <v>443</v>
      </c>
      <c r="L205">
        <v>74</v>
      </c>
      <c r="M205" t="s">
        <v>439</v>
      </c>
    </row>
    <row r="206" spans="1:13" x14ac:dyDescent="0.45">
      <c r="A206" t="s">
        <v>237</v>
      </c>
      <c r="B206" t="s">
        <v>25</v>
      </c>
      <c r="C206" t="s">
        <v>11</v>
      </c>
      <c r="D206" t="s">
        <v>34</v>
      </c>
      <c r="E206" t="s">
        <v>13</v>
      </c>
      <c r="F206">
        <v>74</v>
      </c>
      <c r="G206" t="s">
        <v>438</v>
      </c>
      <c r="H206" s="1">
        <v>15679</v>
      </c>
      <c r="I206" s="1" t="s">
        <v>444</v>
      </c>
      <c r="J206">
        <v>8</v>
      </c>
      <c r="K206" t="s">
        <v>440</v>
      </c>
      <c r="L206">
        <v>70</v>
      </c>
      <c r="M206" t="s">
        <v>445</v>
      </c>
    </row>
    <row r="207" spans="1:13" x14ac:dyDescent="0.45">
      <c r="A207" t="s">
        <v>238</v>
      </c>
      <c r="B207" t="s">
        <v>19</v>
      </c>
      <c r="C207" t="s">
        <v>23</v>
      </c>
      <c r="D207" t="s">
        <v>20</v>
      </c>
      <c r="E207" t="s">
        <v>17</v>
      </c>
      <c r="F207">
        <v>8</v>
      </c>
      <c r="G207" t="s">
        <v>449</v>
      </c>
      <c r="H207" s="1">
        <v>1122</v>
      </c>
      <c r="I207" s="1" t="s">
        <v>434</v>
      </c>
      <c r="J207">
        <v>1</v>
      </c>
      <c r="K207" t="s">
        <v>464</v>
      </c>
      <c r="L207">
        <v>71</v>
      </c>
      <c r="M207" t="s">
        <v>445</v>
      </c>
    </row>
    <row r="208" spans="1:13" x14ac:dyDescent="0.45">
      <c r="A208" t="s">
        <v>239</v>
      </c>
      <c r="B208" t="s">
        <v>10</v>
      </c>
      <c r="C208" t="s">
        <v>11</v>
      </c>
      <c r="D208" t="s">
        <v>20</v>
      </c>
      <c r="E208" t="s">
        <v>13</v>
      </c>
      <c r="F208">
        <v>6</v>
      </c>
      <c r="G208" t="s">
        <v>449</v>
      </c>
      <c r="H208" s="1">
        <v>9059</v>
      </c>
      <c r="I208" s="1" t="s">
        <v>448</v>
      </c>
      <c r="J208">
        <v>12</v>
      </c>
      <c r="K208" t="s">
        <v>443</v>
      </c>
      <c r="L208">
        <v>78</v>
      </c>
      <c r="M208" t="s">
        <v>439</v>
      </c>
    </row>
    <row r="209" spans="1:13" x14ac:dyDescent="0.45">
      <c r="A209" t="s">
        <v>240</v>
      </c>
      <c r="B209" t="s">
        <v>19</v>
      </c>
      <c r="C209" t="s">
        <v>40</v>
      </c>
      <c r="D209" t="s">
        <v>29</v>
      </c>
      <c r="E209" t="s">
        <v>17</v>
      </c>
      <c r="F209">
        <v>37</v>
      </c>
      <c r="G209" t="s">
        <v>446</v>
      </c>
      <c r="H209" s="1">
        <v>3673</v>
      </c>
      <c r="I209" s="1" t="s">
        <v>437</v>
      </c>
      <c r="J209">
        <v>4</v>
      </c>
      <c r="K209" t="s">
        <v>436</v>
      </c>
      <c r="L209">
        <v>99</v>
      </c>
      <c r="M209" t="s">
        <v>433</v>
      </c>
    </row>
    <row r="210" spans="1:13" x14ac:dyDescent="0.45">
      <c r="A210" t="s">
        <v>241</v>
      </c>
      <c r="B210" t="s">
        <v>44</v>
      </c>
      <c r="C210" t="s">
        <v>11</v>
      </c>
      <c r="D210" t="s">
        <v>29</v>
      </c>
      <c r="E210" t="s">
        <v>17</v>
      </c>
      <c r="F210">
        <v>13</v>
      </c>
      <c r="G210" t="s">
        <v>447</v>
      </c>
      <c r="H210" s="1">
        <v>14141</v>
      </c>
      <c r="I210" s="1" t="s">
        <v>451</v>
      </c>
      <c r="J210">
        <v>15</v>
      </c>
      <c r="K210" t="s">
        <v>463</v>
      </c>
      <c r="L210">
        <v>74</v>
      </c>
      <c r="M210" t="s">
        <v>442</v>
      </c>
    </row>
    <row r="211" spans="1:13" x14ac:dyDescent="0.45">
      <c r="A211" t="s">
        <v>242</v>
      </c>
      <c r="B211" t="s">
        <v>44</v>
      </c>
      <c r="C211" t="s">
        <v>26</v>
      </c>
      <c r="D211" t="s">
        <v>16</v>
      </c>
      <c r="E211" t="s">
        <v>13</v>
      </c>
      <c r="F211">
        <v>43</v>
      </c>
      <c r="G211" t="s">
        <v>446</v>
      </c>
      <c r="H211" s="1">
        <v>1667</v>
      </c>
      <c r="I211" s="1" t="s">
        <v>434</v>
      </c>
      <c r="J211">
        <v>4</v>
      </c>
      <c r="K211" t="s">
        <v>436</v>
      </c>
      <c r="L211">
        <v>72</v>
      </c>
      <c r="M211" t="s">
        <v>445</v>
      </c>
    </row>
    <row r="212" spans="1:13" x14ac:dyDescent="0.45">
      <c r="A212" t="s">
        <v>243</v>
      </c>
      <c r="B212" t="s">
        <v>44</v>
      </c>
      <c r="C212" t="s">
        <v>23</v>
      </c>
      <c r="D212" t="s">
        <v>42</v>
      </c>
      <c r="E212" t="s">
        <v>13</v>
      </c>
      <c r="F212">
        <v>11</v>
      </c>
      <c r="G212" t="s">
        <v>449</v>
      </c>
      <c r="H212" s="1">
        <v>834</v>
      </c>
      <c r="I212" s="1" t="s">
        <v>434</v>
      </c>
      <c r="J212">
        <v>3</v>
      </c>
      <c r="K212" t="s">
        <v>464</v>
      </c>
      <c r="L212">
        <v>74</v>
      </c>
      <c r="M212" t="s">
        <v>445</v>
      </c>
    </row>
    <row r="213" spans="1:13" x14ac:dyDescent="0.45">
      <c r="A213" t="s">
        <v>244</v>
      </c>
      <c r="B213" t="s">
        <v>10</v>
      </c>
      <c r="C213" t="s">
        <v>26</v>
      </c>
      <c r="D213" t="s">
        <v>42</v>
      </c>
      <c r="E213" t="s">
        <v>13</v>
      </c>
      <c r="F213">
        <v>88</v>
      </c>
      <c r="G213" t="s">
        <v>438</v>
      </c>
      <c r="H213" s="1">
        <v>5312</v>
      </c>
      <c r="I213" s="1" t="s">
        <v>437</v>
      </c>
      <c r="J213">
        <v>3</v>
      </c>
      <c r="K213" t="s">
        <v>464</v>
      </c>
      <c r="L213">
        <v>91</v>
      </c>
      <c r="M213" t="s">
        <v>433</v>
      </c>
    </row>
    <row r="214" spans="1:13" x14ac:dyDescent="0.45">
      <c r="A214" t="s">
        <v>245</v>
      </c>
      <c r="B214" t="s">
        <v>10</v>
      </c>
      <c r="C214" t="s">
        <v>23</v>
      </c>
      <c r="D214" t="s">
        <v>20</v>
      </c>
      <c r="E214" t="s">
        <v>17</v>
      </c>
      <c r="F214">
        <v>47</v>
      </c>
      <c r="G214" t="s">
        <v>441</v>
      </c>
      <c r="H214" s="1">
        <v>832</v>
      </c>
      <c r="I214" s="1" t="s">
        <v>434</v>
      </c>
      <c r="J214">
        <v>1</v>
      </c>
      <c r="K214" t="s">
        <v>464</v>
      </c>
      <c r="L214">
        <v>63</v>
      </c>
      <c r="M214" t="s">
        <v>439</v>
      </c>
    </row>
    <row r="215" spans="1:13" x14ac:dyDescent="0.45">
      <c r="A215" t="s">
        <v>246</v>
      </c>
      <c r="B215" t="s">
        <v>44</v>
      </c>
      <c r="C215" t="s">
        <v>23</v>
      </c>
      <c r="D215" t="s">
        <v>60</v>
      </c>
      <c r="E215" t="s">
        <v>17</v>
      </c>
      <c r="F215">
        <v>18</v>
      </c>
      <c r="G215" t="s">
        <v>447</v>
      </c>
      <c r="H215" s="1">
        <v>517</v>
      </c>
      <c r="I215" s="1" t="s">
        <v>434</v>
      </c>
      <c r="J215">
        <v>1</v>
      </c>
      <c r="K215" t="s">
        <v>464</v>
      </c>
      <c r="L215">
        <v>68</v>
      </c>
      <c r="M215" t="s">
        <v>439</v>
      </c>
    </row>
    <row r="216" spans="1:13" x14ac:dyDescent="0.45">
      <c r="A216" t="s">
        <v>247</v>
      </c>
      <c r="B216" t="s">
        <v>49</v>
      </c>
      <c r="C216" t="s">
        <v>11</v>
      </c>
      <c r="D216" t="s">
        <v>20</v>
      </c>
      <c r="E216" t="s">
        <v>13</v>
      </c>
      <c r="F216">
        <v>68</v>
      </c>
      <c r="G216" t="s">
        <v>438</v>
      </c>
      <c r="H216" s="1">
        <v>5618</v>
      </c>
      <c r="I216" s="1" t="s">
        <v>437</v>
      </c>
      <c r="J216">
        <v>15</v>
      </c>
      <c r="K216" t="s">
        <v>463</v>
      </c>
      <c r="L216">
        <v>71</v>
      </c>
      <c r="M216" t="s">
        <v>442</v>
      </c>
    </row>
    <row r="217" spans="1:13" x14ac:dyDescent="0.45">
      <c r="A217" t="s">
        <v>248</v>
      </c>
      <c r="B217" t="s">
        <v>49</v>
      </c>
      <c r="C217" t="s">
        <v>40</v>
      </c>
      <c r="D217" t="s">
        <v>16</v>
      </c>
      <c r="E217" t="s">
        <v>17</v>
      </c>
      <c r="F217">
        <v>21</v>
      </c>
      <c r="G217" t="s">
        <v>435</v>
      </c>
      <c r="H217" s="1">
        <v>1981</v>
      </c>
      <c r="I217" s="1" t="s">
        <v>434</v>
      </c>
      <c r="J217">
        <v>5</v>
      </c>
      <c r="K217" t="s">
        <v>436</v>
      </c>
      <c r="L217">
        <v>60</v>
      </c>
      <c r="M217" t="s">
        <v>439</v>
      </c>
    </row>
    <row r="218" spans="1:13" x14ac:dyDescent="0.45">
      <c r="A218" t="s">
        <v>249</v>
      </c>
      <c r="B218" t="s">
        <v>10</v>
      </c>
      <c r="C218" t="s">
        <v>23</v>
      </c>
      <c r="D218" t="s">
        <v>12</v>
      </c>
      <c r="E218" t="s">
        <v>17</v>
      </c>
      <c r="F218">
        <v>87</v>
      </c>
      <c r="G218" t="s">
        <v>438</v>
      </c>
      <c r="H218" s="1">
        <v>1673</v>
      </c>
      <c r="I218" s="1" t="s">
        <v>434</v>
      </c>
      <c r="J218">
        <v>1</v>
      </c>
      <c r="K218" t="s">
        <v>464</v>
      </c>
      <c r="L218">
        <v>78</v>
      </c>
      <c r="M218" t="s">
        <v>445</v>
      </c>
    </row>
    <row r="219" spans="1:13" x14ac:dyDescent="0.45">
      <c r="A219" t="s">
        <v>250</v>
      </c>
      <c r="B219" t="s">
        <v>19</v>
      </c>
      <c r="C219" t="s">
        <v>26</v>
      </c>
      <c r="D219" t="s">
        <v>34</v>
      </c>
      <c r="E219" t="s">
        <v>17</v>
      </c>
      <c r="F219">
        <v>31</v>
      </c>
      <c r="G219" t="s">
        <v>446</v>
      </c>
      <c r="H219" s="1">
        <v>3535</v>
      </c>
      <c r="I219" s="1" t="s">
        <v>437</v>
      </c>
      <c r="J219">
        <v>9</v>
      </c>
      <c r="K219" t="s">
        <v>440</v>
      </c>
      <c r="L219">
        <v>62</v>
      </c>
      <c r="M219" t="s">
        <v>439</v>
      </c>
    </row>
    <row r="220" spans="1:13" x14ac:dyDescent="0.45">
      <c r="A220" t="s">
        <v>251</v>
      </c>
      <c r="B220" t="s">
        <v>44</v>
      </c>
      <c r="C220" t="s">
        <v>23</v>
      </c>
      <c r="D220" t="s">
        <v>34</v>
      </c>
      <c r="E220" t="s">
        <v>13</v>
      </c>
      <c r="F220">
        <v>49</v>
      </c>
      <c r="G220" t="s">
        <v>441</v>
      </c>
      <c r="H220" s="1">
        <v>1229</v>
      </c>
      <c r="I220" s="1" t="s">
        <v>434</v>
      </c>
      <c r="J220">
        <v>3</v>
      </c>
      <c r="K220" t="s">
        <v>464</v>
      </c>
      <c r="L220">
        <v>76</v>
      </c>
      <c r="M220" t="s">
        <v>445</v>
      </c>
    </row>
    <row r="221" spans="1:13" x14ac:dyDescent="0.45">
      <c r="A221" t="s">
        <v>252</v>
      </c>
      <c r="B221" t="s">
        <v>22</v>
      </c>
      <c r="C221" t="s">
        <v>40</v>
      </c>
      <c r="D221" t="s">
        <v>16</v>
      </c>
      <c r="E221" t="s">
        <v>17</v>
      </c>
      <c r="F221">
        <v>33</v>
      </c>
      <c r="G221" t="s">
        <v>446</v>
      </c>
      <c r="H221" s="1">
        <v>927</v>
      </c>
      <c r="I221" s="1" t="s">
        <v>434</v>
      </c>
      <c r="J221">
        <v>4</v>
      </c>
      <c r="K221" t="s">
        <v>436</v>
      </c>
      <c r="L221">
        <v>73</v>
      </c>
      <c r="M221" t="s">
        <v>445</v>
      </c>
    </row>
    <row r="222" spans="1:13" x14ac:dyDescent="0.45">
      <c r="A222" t="s">
        <v>253</v>
      </c>
      <c r="B222" t="s">
        <v>19</v>
      </c>
      <c r="C222" t="s">
        <v>11</v>
      </c>
      <c r="D222" t="s">
        <v>20</v>
      </c>
      <c r="E222" t="s">
        <v>13</v>
      </c>
      <c r="F222">
        <v>37</v>
      </c>
      <c r="G222" t="s">
        <v>446</v>
      </c>
      <c r="H222" s="1">
        <v>6374</v>
      </c>
      <c r="I222" s="1" t="s">
        <v>437</v>
      </c>
      <c r="J222">
        <v>7</v>
      </c>
      <c r="K222" t="s">
        <v>440</v>
      </c>
      <c r="L222">
        <v>67</v>
      </c>
      <c r="M222" t="s">
        <v>439</v>
      </c>
    </row>
    <row r="223" spans="1:13" x14ac:dyDescent="0.45">
      <c r="A223" t="s">
        <v>254</v>
      </c>
      <c r="B223" t="s">
        <v>25</v>
      </c>
      <c r="C223" t="s">
        <v>40</v>
      </c>
      <c r="D223" t="s">
        <v>47</v>
      </c>
      <c r="E223" t="s">
        <v>17</v>
      </c>
      <c r="F223">
        <v>29</v>
      </c>
      <c r="G223" t="s">
        <v>435</v>
      </c>
      <c r="H223" s="1">
        <v>4195</v>
      </c>
      <c r="I223" s="1" t="s">
        <v>437</v>
      </c>
      <c r="J223">
        <v>3</v>
      </c>
      <c r="K223" t="s">
        <v>464</v>
      </c>
      <c r="L223">
        <v>51</v>
      </c>
      <c r="M223" t="s">
        <v>439</v>
      </c>
    </row>
    <row r="224" spans="1:13" x14ac:dyDescent="0.45">
      <c r="A224" t="s">
        <v>255</v>
      </c>
      <c r="B224" t="s">
        <v>25</v>
      </c>
      <c r="C224" t="s">
        <v>11</v>
      </c>
      <c r="D224" t="s">
        <v>47</v>
      </c>
      <c r="E224" t="s">
        <v>13</v>
      </c>
      <c r="F224">
        <v>31</v>
      </c>
      <c r="G224" t="s">
        <v>446</v>
      </c>
      <c r="H224" s="1">
        <v>11326</v>
      </c>
      <c r="I224" s="1" t="s">
        <v>451</v>
      </c>
      <c r="J224">
        <v>6</v>
      </c>
      <c r="K224" t="s">
        <v>436</v>
      </c>
      <c r="L224">
        <v>73</v>
      </c>
      <c r="M224" t="s">
        <v>445</v>
      </c>
    </row>
    <row r="225" spans="1:13" x14ac:dyDescent="0.45">
      <c r="A225" t="s">
        <v>256</v>
      </c>
      <c r="B225" t="s">
        <v>22</v>
      </c>
      <c r="C225" t="s">
        <v>11</v>
      </c>
      <c r="D225" t="s">
        <v>29</v>
      </c>
      <c r="E225" t="s">
        <v>13</v>
      </c>
      <c r="F225">
        <v>84</v>
      </c>
      <c r="G225" t="s">
        <v>438</v>
      </c>
      <c r="H225" s="1">
        <v>10493</v>
      </c>
      <c r="I225" s="1" t="s">
        <v>448</v>
      </c>
      <c r="J225">
        <v>7</v>
      </c>
      <c r="K225" t="s">
        <v>440</v>
      </c>
      <c r="L225">
        <v>58</v>
      </c>
      <c r="M225" t="s">
        <v>439</v>
      </c>
    </row>
    <row r="226" spans="1:13" x14ac:dyDescent="0.45">
      <c r="A226" t="s">
        <v>257</v>
      </c>
      <c r="B226" t="s">
        <v>15</v>
      </c>
      <c r="C226" t="s">
        <v>26</v>
      </c>
      <c r="D226" t="s">
        <v>34</v>
      </c>
      <c r="E226" t="s">
        <v>13</v>
      </c>
      <c r="F226">
        <v>18</v>
      </c>
      <c r="G226" t="s">
        <v>447</v>
      </c>
      <c r="H226" s="1">
        <v>6779</v>
      </c>
      <c r="I226" s="1" t="s">
        <v>437</v>
      </c>
      <c r="J226">
        <v>9</v>
      </c>
      <c r="K226" t="s">
        <v>440</v>
      </c>
      <c r="L226">
        <v>78</v>
      </c>
      <c r="M226" t="s">
        <v>445</v>
      </c>
    </row>
    <row r="227" spans="1:13" x14ac:dyDescent="0.45">
      <c r="A227" t="s">
        <v>258</v>
      </c>
      <c r="B227" t="s">
        <v>19</v>
      </c>
      <c r="C227" t="s">
        <v>11</v>
      </c>
      <c r="D227" t="s">
        <v>31</v>
      </c>
      <c r="E227" t="s">
        <v>17</v>
      </c>
      <c r="F227">
        <v>28</v>
      </c>
      <c r="G227" t="s">
        <v>435</v>
      </c>
      <c r="H227" s="1">
        <v>18680</v>
      </c>
      <c r="I227" s="1" t="s">
        <v>444</v>
      </c>
      <c r="J227">
        <v>7</v>
      </c>
      <c r="K227" t="s">
        <v>440</v>
      </c>
      <c r="L227">
        <v>85</v>
      </c>
      <c r="M227" t="s">
        <v>445</v>
      </c>
    </row>
    <row r="228" spans="1:13" x14ac:dyDescent="0.45">
      <c r="A228" t="s">
        <v>259</v>
      </c>
      <c r="B228" t="s">
        <v>10</v>
      </c>
      <c r="C228" t="s">
        <v>23</v>
      </c>
      <c r="D228" t="s">
        <v>31</v>
      </c>
      <c r="E228" t="s">
        <v>13</v>
      </c>
      <c r="F228">
        <v>31</v>
      </c>
      <c r="G228" t="s">
        <v>446</v>
      </c>
      <c r="H228" s="1">
        <v>816</v>
      </c>
      <c r="I228" s="1" t="s">
        <v>434</v>
      </c>
      <c r="J228">
        <v>1</v>
      </c>
      <c r="K228" t="s">
        <v>464</v>
      </c>
      <c r="L228">
        <v>53</v>
      </c>
      <c r="M228" t="s">
        <v>439</v>
      </c>
    </row>
    <row r="229" spans="1:13" x14ac:dyDescent="0.45">
      <c r="A229" t="s">
        <v>260</v>
      </c>
      <c r="B229" t="s">
        <v>22</v>
      </c>
      <c r="C229" t="s">
        <v>23</v>
      </c>
      <c r="D229" t="s">
        <v>16</v>
      </c>
      <c r="E229" t="s">
        <v>17</v>
      </c>
      <c r="F229">
        <v>15</v>
      </c>
      <c r="G229" t="s">
        <v>447</v>
      </c>
      <c r="H229" s="1">
        <v>1913</v>
      </c>
      <c r="I229" s="1" t="s">
        <v>434</v>
      </c>
      <c r="J229">
        <v>2</v>
      </c>
      <c r="K229" t="s">
        <v>464</v>
      </c>
      <c r="L229">
        <v>88</v>
      </c>
      <c r="M229" t="s">
        <v>433</v>
      </c>
    </row>
    <row r="230" spans="1:13" x14ac:dyDescent="0.45">
      <c r="A230" t="s">
        <v>261</v>
      </c>
      <c r="B230" t="s">
        <v>19</v>
      </c>
      <c r="C230" t="s">
        <v>11</v>
      </c>
      <c r="D230" t="s">
        <v>20</v>
      </c>
      <c r="E230" t="s">
        <v>13</v>
      </c>
      <c r="F230">
        <v>19</v>
      </c>
      <c r="G230" t="s">
        <v>447</v>
      </c>
      <c r="H230" s="1">
        <v>9772</v>
      </c>
      <c r="I230" s="1" t="s">
        <v>448</v>
      </c>
      <c r="J230">
        <v>11</v>
      </c>
      <c r="K230" t="s">
        <v>443</v>
      </c>
      <c r="L230">
        <v>50</v>
      </c>
      <c r="M230" t="s">
        <v>439</v>
      </c>
    </row>
    <row r="231" spans="1:13" x14ac:dyDescent="0.45">
      <c r="A231" t="s">
        <v>262</v>
      </c>
      <c r="B231" t="s">
        <v>19</v>
      </c>
      <c r="C231" t="s">
        <v>26</v>
      </c>
      <c r="D231" t="s">
        <v>60</v>
      </c>
      <c r="E231" t="s">
        <v>13</v>
      </c>
      <c r="F231">
        <v>24</v>
      </c>
      <c r="G231" t="s">
        <v>435</v>
      </c>
      <c r="H231" s="1">
        <v>6442</v>
      </c>
      <c r="I231" s="1" t="s">
        <v>437</v>
      </c>
      <c r="J231">
        <v>3</v>
      </c>
      <c r="K231" t="s">
        <v>464</v>
      </c>
      <c r="L231">
        <v>83</v>
      </c>
      <c r="M231" t="s">
        <v>445</v>
      </c>
    </row>
    <row r="232" spans="1:13" x14ac:dyDescent="0.45">
      <c r="A232" t="s">
        <v>263</v>
      </c>
      <c r="B232" t="s">
        <v>44</v>
      </c>
      <c r="C232" t="s">
        <v>11</v>
      </c>
      <c r="D232" t="s">
        <v>20</v>
      </c>
      <c r="E232" t="s">
        <v>13</v>
      </c>
      <c r="F232">
        <v>65</v>
      </c>
      <c r="G232" t="s">
        <v>438</v>
      </c>
      <c r="H232" s="1">
        <v>14079</v>
      </c>
      <c r="I232" s="1" t="s">
        <v>451</v>
      </c>
      <c r="J232">
        <v>5</v>
      </c>
      <c r="K232" t="s">
        <v>436</v>
      </c>
      <c r="L232">
        <v>74</v>
      </c>
      <c r="M232" t="s">
        <v>445</v>
      </c>
    </row>
    <row r="233" spans="1:13" x14ac:dyDescent="0.45">
      <c r="A233" t="s">
        <v>264</v>
      </c>
      <c r="B233" t="s">
        <v>49</v>
      </c>
      <c r="C233" t="s">
        <v>23</v>
      </c>
      <c r="D233" t="s">
        <v>12</v>
      </c>
      <c r="E233" t="s">
        <v>13</v>
      </c>
      <c r="F233">
        <v>48</v>
      </c>
      <c r="G233" t="s">
        <v>441</v>
      </c>
      <c r="H233" s="1">
        <v>719</v>
      </c>
      <c r="I233" s="1" t="s">
        <v>434</v>
      </c>
      <c r="J233">
        <v>3</v>
      </c>
      <c r="K233" t="s">
        <v>464</v>
      </c>
      <c r="L233">
        <v>51</v>
      </c>
      <c r="M233" t="s">
        <v>439</v>
      </c>
    </row>
    <row r="234" spans="1:13" x14ac:dyDescent="0.45">
      <c r="A234" t="s">
        <v>265</v>
      </c>
      <c r="B234" t="s">
        <v>44</v>
      </c>
      <c r="C234" t="s">
        <v>11</v>
      </c>
      <c r="D234" t="s">
        <v>29</v>
      </c>
      <c r="E234" t="s">
        <v>17</v>
      </c>
      <c r="F234">
        <v>85</v>
      </c>
      <c r="G234" t="s">
        <v>438</v>
      </c>
      <c r="H234" s="1">
        <v>15293</v>
      </c>
      <c r="I234" s="1" t="s">
        <v>444</v>
      </c>
      <c r="J234">
        <v>6</v>
      </c>
      <c r="K234" t="s">
        <v>436</v>
      </c>
      <c r="L234">
        <v>99</v>
      </c>
      <c r="M234" t="s">
        <v>445</v>
      </c>
    </row>
    <row r="235" spans="1:13" x14ac:dyDescent="0.45">
      <c r="A235" t="s">
        <v>266</v>
      </c>
      <c r="B235" t="s">
        <v>19</v>
      </c>
      <c r="C235" t="s">
        <v>26</v>
      </c>
      <c r="D235" t="s">
        <v>42</v>
      </c>
      <c r="E235" t="s">
        <v>17</v>
      </c>
      <c r="F235">
        <v>70</v>
      </c>
      <c r="G235" t="s">
        <v>438</v>
      </c>
      <c r="H235" s="1">
        <v>3773</v>
      </c>
      <c r="I235" s="1" t="s">
        <v>437</v>
      </c>
      <c r="J235">
        <v>4</v>
      </c>
      <c r="K235" t="s">
        <v>436</v>
      </c>
      <c r="L235">
        <v>99</v>
      </c>
      <c r="M235" t="s">
        <v>433</v>
      </c>
    </row>
    <row r="236" spans="1:13" x14ac:dyDescent="0.45">
      <c r="A236" t="s">
        <v>267</v>
      </c>
      <c r="B236" t="s">
        <v>10</v>
      </c>
      <c r="C236" t="s">
        <v>23</v>
      </c>
      <c r="D236" t="s">
        <v>34</v>
      </c>
      <c r="E236" t="s">
        <v>13</v>
      </c>
      <c r="F236">
        <v>18</v>
      </c>
      <c r="G236" t="s">
        <v>447</v>
      </c>
      <c r="H236" s="1">
        <v>329</v>
      </c>
      <c r="I236" s="1" t="s">
        <v>434</v>
      </c>
      <c r="J236">
        <v>3</v>
      </c>
      <c r="K236" t="s">
        <v>464</v>
      </c>
      <c r="L236">
        <v>99</v>
      </c>
      <c r="M236" t="s">
        <v>433</v>
      </c>
    </row>
    <row r="237" spans="1:13" x14ac:dyDescent="0.45">
      <c r="A237" t="s">
        <v>268</v>
      </c>
      <c r="B237" t="s">
        <v>25</v>
      </c>
      <c r="C237" t="s">
        <v>11</v>
      </c>
      <c r="D237" t="s">
        <v>27</v>
      </c>
      <c r="E237" t="s">
        <v>17</v>
      </c>
      <c r="F237">
        <v>26</v>
      </c>
      <c r="G237" t="s">
        <v>435</v>
      </c>
      <c r="H237" s="1">
        <v>19512</v>
      </c>
      <c r="I237" s="1" t="s">
        <v>444</v>
      </c>
      <c r="J237">
        <v>5</v>
      </c>
      <c r="K237" t="s">
        <v>436</v>
      </c>
      <c r="L237">
        <v>70</v>
      </c>
      <c r="M237" t="s">
        <v>445</v>
      </c>
    </row>
    <row r="238" spans="1:13" x14ac:dyDescent="0.45">
      <c r="A238" t="s">
        <v>269</v>
      </c>
      <c r="B238" t="s">
        <v>44</v>
      </c>
      <c r="C238" t="s">
        <v>23</v>
      </c>
      <c r="D238" t="s">
        <v>20</v>
      </c>
      <c r="E238" t="s">
        <v>17</v>
      </c>
      <c r="F238">
        <v>5</v>
      </c>
      <c r="G238" t="s">
        <v>450</v>
      </c>
      <c r="H238" s="1">
        <v>1742</v>
      </c>
      <c r="I238" s="1" t="s">
        <v>434</v>
      </c>
      <c r="J238">
        <v>3</v>
      </c>
      <c r="K238" t="s">
        <v>464</v>
      </c>
      <c r="L238">
        <v>62</v>
      </c>
      <c r="M238" t="s">
        <v>439</v>
      </c>
    </row>
    <row r="239" spans="1:13" x14ac:dyDescent="0.45">
      <c r="A239" t="s">
        <v>270</v>
      </c>
      <c r="B239" t="s">
        <v>44</v>
      </c>
      <c r="C239" t="s">
        <v>26</v>
      </c>
      <c r="D239" t="s">
        <v>12</v>
      </c>
      <c r="E239" t="s">
        <v>13</v>
      </c>
      <c r="F239">
        <v>43</v>
      </c>
      <c r="G239" t="s">
        <v>446</v>
      </c>
      <c r="H239" s="1">
        <v>3238</v>
      </c>
      <c r="I239" s="1" t="s">
        <v>437</v>
      </c>
      <c r="J239">
        <v>3</v>
      </c>
      <c r="K239" t="s">
        <v>464</v>
      </c>
      <c r="L239">
        <v>73</v>
      </c>
      <c r="M239" t="s">
        <v>445</v>
      </c>
    </row>
    <row r="240" spans="1:13" x14ac:dyDescent="0.45">
      <c r="A240" t="s">
        <v>271</v>
      </c>
      <c r="B240" t="s">
        <v>25</v>
      </c>
      <c r="C240" t="s">
        <v>23</v>
      </c>
      <c r="D240" t="s">
        <v>34</v>
      </c>
      <c r="E240" t="s">
        <v>13</v>
      </c>
      <c r="F240">
        <v>50</v>
      </c>
      <c r="G240" t="s">
        <v>441</v>
      </c>
      <c r="H240" s="1">
        <v>894</v>
      </c>
      <c r="I240" s="1" t="s">
        <v>434</v>
      </c>
      <c r="J240">
        <v>1</v>
      </c>
      <c r="K240" t="s">
        <v>464</v>
      </c>
      <c r="L240">
        <v>81</v>
      </c>
      <c r="M240" t="s">
        <v>445</v>
      </c>
    </row>
    <row r="241" spans="1:13" x14ac:dyDescent="0.45">
      <c r="A241" t="s">
        <v>272</v>
      </c>
      <c r="B241" t="s">
        <v>10</v>
      </c>
      <c r="C241" t="s">
        <v>23</v>
      </c>
      <c r="D241" t="s">
        <v>29</v>
      </c>
      <c r="E241" t="s">
        <v>13</v>
      </c>
      <c r="F241">
        <v>67</v>
      </c>
      <c r="G241" t="s">
        <v>438</v>
      </c>
      <c r="H241" s="1">
        <v>746</v>
      </c>
      <c r="I241" s="1" t="s">
        <v>434</v>
      </c>
      <c r="J241">
        <v>1</v>
      </c>
      <c r="K241" t="s">
        <v>464</v>
      </c>
      <c r="L241">
        <v>96</v>
      </c>
      <c r="M241" t="s">
        <v>433</v>
      </c>
    </row>
    <row r="242" spans="1:13" x14ac:dyDescent="0.45">
      <c r="A242" t="s">
        <v>273</v>
      </c>
      <c r="B242" t="s">
        <v>25</v>
      </c>
      <c r="C242" t="s">
        <v>11</v>
      </c>
      <c r="D242" t="s">
        <v>47</v>
      </c>
      <c r="E242" t="s">
        <v>13</v>
      </c>
      <c r="F242">
        <v>24</v>
      </c>
      <c r="G242" t="s">
        <v>435</v>
      </c>
      <c r="H242" s="1">
        <v>13937</v>
      </c>
      <c r="I242" s="1" t="s">
        <v>451</v>
      </c>
      <c r="J242">
        <v>9</v>
      </c>
      <c r="K242" t="s">
        <v>440</v>
      </c>
      <c r="L242">
        <v>70</v>
      </c>
      <c r="M242" t="s">
        <v>445</v>
      </c>
    </row>
    <row r="243" spans="1:13" x14ac:dyDescent="0.45">
      <c r="A243" t="s">
        <v>274</v>
      </c>
      <c r="B243" t="s">
        <v>15</v>
      </c>
      <c r="C243" t="s">
        <v>11</v>
      </c>
      <c r="D243" t="s">
        <v>29</v>
      </c>
      <c r="E243" t="s">
        <v>13</v>
      </c>
      <c r="F243">
        <v>40</v>
      </c>
      <c r="G243" t="s">
        <v>446</v>
      </c>
      <c r="H243" s="1">
        <v>12305</v>
      </c>
      <c r="I243" s="1" t="s">
        <v>451</v>
      </c>
      <c r="J243">
        <v>14</v>
      </c>
      <c r="K243" t="s">
        <v>463</v>
      </c>
      <c r="L243">
        <v>95</v>
      </c>
      <c r="M243" t="s">
        <v>442</v>
      </c>
    </row>
    <row r="244" spans="1:13" x14ac:dyDescent="0.45">
      <c r="A244" t="s">
        <v>275</v>
      </c>
      <c r="B244" t="s">
        <v>25</v>
      </c>
      <c r="C244" t="s">
        <v>40</v>
      </c>
      <c r="D244" t="s">
        <v>34</v>
      </c>
      <c r="E244" t="s">
        <v>17</v>
      </c>
      <c r="F244">
        <v>6</v>
      </c>
      <c r="G244" t="s">
        <v>449</v>
      </c>
      <c r="H244" s="1">
        <v>3388</v>
      </c>
      <c r="I244" s="1" t="s">
        <v>437</v>
      </c>
      <c r="J244">
        <v>5</v>
      </c>
      <c r="K244" t="s">
        <v>436</v>
      </c>
      <c r="L244">
        <v>77</v>
      </c>
      <c r="M244" t="s">
        <v>445</v>
      </c>
    </row>
    <row r="245" spans="1:13" x14ac:dyDescent="0.45">
      <c r="A245" t="s">
        <v>276</v>
      </c>
      <c r="B245" t="s">
        <v>44</v>
      </c>
      <c r="C245" t="s">
        <v>11</v>
      </c>
      <c r="D245" t="s">
        <v>31</v>
      </c>
      <c r="E245" t="s">
        <v>13</v>
      </c>
      <c r="F245">
        <v>52</v>
      </c>
      <c r="G245" t="s">
        <v>441</v>
      </c>
      <c r="H245" s="1">
        <v>10952</v>
      </c>
      <c r="I245" s="1" t="s">
        <v>448</v>
      </c>
      <c r="J245">
        <v>13</v>
      </c>
      <c r="K245" t="s">
        <v>463</v>
      </c>
      <c r="L245">
        <v>97</v>
      </c>
      <c r="M245" t="s">
        <v>442</v>
      </c>
    </row>
    <row r="246" spans="1:13" x14ac:dyDescent="0.45">
      <c r="A246" t="s">
        <v>277</v>
      </c>
      <c r="B246" t="s">
        <v>10</v>
      </c>
      <c r="C246" t="s">
        <v>40</v>
      </c>
      <c r="D246" t="s">
        <v>12</v>
      </c>
      <c r="E246" t="s">
        <v>17</v>
      </c>
      <c r="F246">
        <v>78</v>
      </c>
      <c r="G246" t="s">
        <v>438</v>
      </c>
      <c r="H246" s="1">
        <v>4089</v>
      </c>
      <c r="I246" s="1" t="s">
        <v>437</v>
      </c>
      <c r="J246">
        <v>1</v>
      </c>
      <c r="K246" t="s">
        <v>464</v>
      </c>
      <c r="L246">
        <v>58</v>
      </c>
      <c r="M246" t="s">
        <v>439</v>
      </c>
    </row>
    <row r="247" spans="1:13" x14ac:dyDescent="0.45">
      <c r="A247" t="s">
        <v>278</v>
      </c>
      <c r="B247" t="s">
        <v>15</v>
      </c>
      <c r="C247" t="s">
        <v>40</v>
      </c>
      <c r="D247" t="s">
        <v>29</v>
      </c>
      <c r="E247" t="s">
        <v>17</v>
      </c>
      <c r="F247">
        <v>73</v>
      </c>
      <c r="G247" t="s">
        <v>438</v>
      </c>
      <c r="H247" s="1">
        <v>765</v>
      </c>
      <c r="I247" s="1" t="s">
        <v>434</v>
      </c>
      <c r="J247">
        <v>5</v>
      </c>
      <c r="K247" t="s">
        <v>436</v>
      </c>
      <c r="L247">
        <v>59</v>
      </c>
      <c r="M247" t="s">
        <v>439</v>
      </c>
    </row>
    <row r="248" spans="1:13" x14ac:dyDescent="0.45">
      <c r="A248" t="s">
        <v>279</v>
      </c>
      <c r="B248" t="s">
        <v>10</v>
      </c>
      <c r="C248" t="s">
        <v>23</v>
      </c>
      <c r="D248" t="s">
        <v>29</v>
      </c>
      <c r="E248" t="s">
        <v>17</v>
      </c>
      <c r="F248">
        <v>10</v>
      </c>
      <c r="G248" t="s">
        <v>449</v>
      </c>
      <c r="H248" s="1">
        <v>1375</v>
      </c>
      <c r="I248" s="1" t="s">
        <v>434</v>
      </c>
      <c r="J248">
        <v>1</v>
      </c>
      <c r="K248" t="s">
        <v>464</v>
      </c>
      <c r="L248">
        <v>83</v>
      </c>
      <c r="M248" t="s">
        <v>445</v>
      </c>
    </row>
    <row r="249" spans="1:13" x14ac:dyDescent="0.45">
      <c r="A249" t="s">
        <v>280</v>
      </c>
      <c r="B249" t="s">
        <v>44</v>
      </c>
      <c r="C249" t="s">
        <v>23</v>
      </c>
      <c r="D249" t="s">
        <v>29</v>
      </c>
      <c r="E249" t="s">
        <v>13</v>
      </c>
      <c r="F249">
        <v>32</v>
      </c>
      <c r="G249" t="s">
        <v>446</v>
      </c>
      <c r="H249" s="1">
        <v>432</v>
      </c>
      <c r="I249" s="1" t="s">
        <v>434</v>
      </c>
      <c r="J249">
        <v>1</v>
      </c>
      <c r="K249" t="s">
        <v>464</v>
      </c>
      <c r="L249">
        <v>97</v>
      </c>
      <c r="M249" t="s">
        <v>433</v>
      </c>
    </row>
    <row r="250" spans="1:13" x14ac:dyDescent="0.45">
      <c r="A250" t="s">
        <v>281</v>
      </c>
      <c r="B250" t="s">
        <v>22</v>
      </c>
      <c r="C250" t="s">
        <v>23</v>
      </c>
      <c r="D250" t="s">
        <v>20</v>
      </c>
      <c r="E250" t="s">
        <v>17</v>
      </c>
      <c r="F250">
        <v>72</v>
      </c>
      <c r="G250" t="s">
        <v>438</v>
      </c>
      <c r="H250" s="1">
        <v>441</v>
      </c>
      <c r="I250" s="1" t="s">
        <v>434</v>
      </c>
      <c r="J250">
        <v>2</v>
      </c>
      <c r="K250" t="s">
        <v>464</v>
      </c>
      <c r="L250">
        <v>99</v>
      </c>
      <c r="M250" t="s">
        <v>433</v>
      </c>
    </row>
    <row r="251" spans="1:13" x14ac:dyDescent="0.45">
      <c r="A251" t="s">
        <v>282</v>
      </c>
      <c r="B251" t="s">
        <v>44</v>
      </c>
      <c r="C251" t="s">
        <v>23</v>
      </c>
      <c r="D251" t="s">
        <v>60</v>
      </c>
      <c r="E251" t="s">
        <v>37</v>
      </c>
      <c r="F251">
        <v>37</v>
      </c>
      <c r="G251" t="s">
        <v>446</v>
      </c>
      <c r="H251" s="1">
        <v>1621</v>
      </c>
      <c r="I251" s="1" t="s">
        <v>434</v>
      </c>
      <c r="J251">
        <v>2</v>
      </c>
      <c r="K251" t="s">
        <v>464</v>
      </c>
      <c r="L251">
        <v>62</v>
      </c>
      <c r="M251" t="s">
        <v>439</v>
      </c>
    </row>
    <row r="252" spans="1:13" x14ac:dyDescent="0.45">
      <c r="A252" t="s">
        <v>283</v>
      </c>
      <c r="B252" t="s">
        <v>15</v>
      </c>
      <c r="C252" t="s">
        <v>40</v>
      </c>
      <c r="D252" t="s">
        <v>31</v>
      </c>
      <c r="E252" t="s">
        <v>17</v>
      </c>
      <c r="F252">
        <v>57</v>
      </c>
      <c r="G252" t="s">
        <v>441</v>
      </c>
      <c r="H252" s="1">
        <v>1219</v>
      </c>
      <c r="I252" s="1" t="s">
        <v>434</v>
      </c>
      <c r="J252">
        <v>3</v>
      </c>
      <c r="K252" t="s">
        <v>464</v>
      </c>
      <c r="L252">
        <v>92</v>
      </c>
      <c r="M252" t="s">
        <v>433</v>
      </c>
    </row>
    <row r="253" spans="1:13" x14ac:dyDescent="0.45">
      <c r="A253" t="s">
        <v>284</v>
      </c>
      <c r="B253" t="s">
        <v>44</v>
      </c>
      <c r="C253" t="s">
        <v>11</v>
      </c>
      <c r="D253" t="s">
        <v>20</v>
      </c>
      <c r="E253" t="s">
        <v>13</v>
      </c>
      <c r="F253">
        <v>39</v>
      </c>
      <c r="G253" t="s">
        <v>446</v>
      </c>
      <c r="H253" s="1">
        <v>18948</v>
      </c>
      <c r="I253" s="1" t="s">
        <v>444</v>
      </c>
      <c r="J253">
        <v>7</v>
      </c>
      <c r="K253" t="s">
        <v>440</v>
      </c>
      <c r="L253">
        <v>95</v>
      </c>
      <c r="M253" t="s">
        <v>445</v>
      </c>
    </row>
    <row r="254" spans="1:13" x14ac:dyDescent="0.45">
      <c r="A254" t="s">
        <v>285</v>
      </c>
      <c r="B254" t="s">
        <v>10</v>
      </c>
      <c r="C254" t="s">
        <v>40</v>
      </c>
      <c r="D254" t="s">
        <v>29</v>
      </c>
      <c r="E254" t="s">
        <v>13</v>
      </c>
      <c r="F254">
        <v>16</v>
      </c>
      <c r="G254" t="s">
        <v>447</v>
      </c>
      <c r="H254" s="1">
        <v>2146</v>
      </c>
      <c r="I254" s="1" t="s">
        <v>434</v>
      </c>
      <c r="J254">
        <v>2</v>
      </c>
      <c r="K254" t="s">
        <v>464</v>
      </c>
      <c r="L254">
        <v>65</v>
      </c>
      <c r="M254" t="s">
        <v>439</v>
      </c>
    </row>
    <row r="255" spans="1:13" x14ac:dyDescent="0.45">
      <c r="A255" t="s">
        <v>286</v>
      </c>
      <c r="B255" t="s">
        <v>49</v>
      </c>
      <c r="C255" t="s">
        <v>23</v>
      </c>
      <c r="D255" t="s">
        <v>12</v>
      </c>
      <c r="E255" t="s">
        <v>17</v>
      </c>
      <c r="F255">
        <v>74</v>
      </c>
      <c r="G255" t="s">
        <v>438</v>
      </c>
      <c r="H255" s="1">
        <v>955</v>
      </c>
      <c r="I255" s="1" t="s">
        <v>434</v>
      </c>
      <c r="J255">
        <v>2</v>
      </c>
      <c r="K255" t="s">
        <v>464</v>
      </c>
      <c r="L255">
        <v>85</v>
      </c>
      <c r="M255" t="s">
        <v>433</v>
      </c>
    </row>
    <row r="256" spans="1:13" x14ac:dyDescent="0.45">
      <c r="A256" t="s">
        <v>287</v>
      </c>
      <c r="B256" t="s">
        <v>22</v>
      </c>
      <c r="C256" t="s">
        <v>11</v>
      </c>
      <c r="D256" t="s">
        <v>31</v>
      </c>
      <c r="E256" t="s">
        <v>17</v>
      </c>
      <c r="F256">
        <v>62</v>
      </c>
      <c r="G256" t="s">
        <v>438</v>
      </c>
      <c r="H256" s="1">
        <v>13612</v>
      </c>
      <c r="I256" s="1" t="s">
        <v>451</v>
      </c>
      <c r="J256">
        <v>11</v>
      </c>
      <c r="K256" t="s">
        <v>443</v>
      </c>
      <c r="L256">
        <v>99</v>
      </c>
      <c r="M256" t="s">
        <v>439</v>
      </c>
    </row>
    <row r="257" spans="1:13" x14ac:dyDescent="0.45">
      <c r="A257" t="s">
        <v>288</v>
      </c>
      <c r="B257" t="s">
        <v>25</v>
      </c>
      <c r="C257" t="s">
        <v>11</v>
      </c>
      <c r="D257" t="s">
        <v>42</v>
      </c>
      <c r="E257" t="s">
        <v>13</v>
      </c>
      <c r="F257">
        <v>83</v>
      </c>
      <c r="G257" t="s">
        <v>438</v>
      </c>
      <c r="H257" s="1">
        <v>6215</v>
      </c>
      <c r="I257" s="1" t="s">
        <v>437</v>
      </c>
      <c r="J257">
        <v>12</v>
      </c>
      <c r="K257" t="s">
        <v>443</v>
      </c>
      <c r="L257">
        <v>79</v>
      </c>
      <c r="M257" t="s">
        <v>439</v>
      </c>
    </row>
    <row r="258" spans="1:13" x14ac:dyDescent="0.45">
      <c r="A258" t="s">
        <v>289</v>
      </c>
      <c r="B258" t="s">
        <v>10</v>
      </c>
      <c r="C258" t="s">
        <v>26</v>
      </c>
      <c r="D258" t="s">
        <v>42</v>
      </c>
      <c r="E258" t="s">
        <v>13</v>
      </c>
      <c r="F258">
        <v>71</v>
      </c>
      <c r="G258" t="s">
        <v>438</v>
      </c>
      <c r="H258" s="1">
        <v>6241</v>
      </c>
      <c r="I258" s="1" t="s">
        <v>437</v>
      </c>
      <c r="J258">
        <v>4</v>
      </c>
      <c r="K258" t="s">
        <v>436</v>
      </c>
      <c r="L258">
        <v>99</v>
      </c>
      <c r="M258" t="s">
        <v>433</v>
      </c>
    </row>
    <row r="259" spans="1:13" x14ac:dyDescent="0.45">
      <c r="A259" t="s">
        <v>290</v>
      </c>
      <c r="B259" t="s">
        <v>22</v>
      </c>
      <c r="C259" t="s">
        <v>23</v>
      </c>
      <c r="D259" t="s">
        <v>20</v>
      </c>
      <c r="E259" t="s">
        <v>13</v>
      </c>
      <c r="F259">
        <v>8</v>
      </c>
      <c r="G259" t="s">
        <v>449</v>
      </c>
      <c r="H259" s="1">
        <v>1902</v>
      </c>
      <c r="I259" s="1" t="s">
        <v>434</v>
      </c>
      <c r="J259">
        <v>1</v>
      </c>
      <c r="K259" t="s">
        <v>464</v>
      </c>
      <c r="L259">
        <v>83</v>
      </c>
      <c r="M259" t="s">
        <v>445</v>
      </c>
    </row>
    <row r="260" spans="1:13" x14ac:dyDescent="0.45">
      <c r="A260" t="s">
        <v>291</v>
      </c>
      <c r="B260" t="s">
        <v>22</v>
      </c>
      <c r="C260" t="s">
        <v>26</v>
      </c>
      <c r="D260" t="s">
        <v>42</v>
      </c>
      <c r="E260" t="s">
        <v>17</v>
      </c>
      <c r="F260">
        <v>29</v>
      </c>
      <c r="G260" t="s">
        <v>435</v>
      </c>
      <c r="H260" s="1">
        <v>3834</v>
      </c>
      <c r="I260" s="1" t="s">
        <v>437</v>
      </c>
      <c r="J260">
        <v>10</v>
      </c>
      <c r="K260" t="s">
        <v>443</v>
      </c>
      <c r="L260">
        <v>68</v>
      </c>
      <c r="M260" t="s">
        <v>439</v>
      </c>
    </row>
    <row r="261" spans="1:13" x14ac:dyDescent="0.45">
      <c r="A261" t="s">
        <v>292</v>
      </c>
      <c r="B261" t="s">
        <v>49</v>
      </c>
      <c r="C261" t="s">
        <v>11</v>
      </c>
      <c r="D261" t="s">
        <v>27</v>
      </c>
      <c r="E261" t="s">
        <v>17</v>
      </c>
      <c r="F261">
        <v>71</v>
      </c>
      <c r="G261" t="s">
        <v>438</v>
      </c>
      <c r="H261" s="1">
        <v>9496</v>
      </c>
      <c r="I261" s="1" t="s">
        <v>448</v>
      </c>
      <c r="J261">
        <v>7</v>
      </c>
      <c r="K261" t="s">
        <v>440</v>
      </c>
      <c r="L261">
        <v>90</v>
      </c>
      <c r="M261" t="s">
        <v>445</v>
      </c>
    </row>
    <row r="262" spans="1:13" x14ac:dyDescent="0.45">
      <c r="A262" t="s">
        <v>293</v>
      </c>
      <c r="B262" t="s">
        <v>44</v>
      </c>
      <c r="C262" t="s">
        <v>11</v>
      </c>
      <c r="D262" t="s">
        <v>20</v>
      </c>
      <c r="E262" t="s">
        <v>13</v>
      </c>
      <c r="F262">
        <v>76</v>
      </c>
      <c r="G262" t="s">
        <v>438</v>
      </c>
      <c r="H262" s="1">
        <v>14513</v>
      </c>
      <c r="I262" s="1" t="s">
        <v>451</v>
      </c>
      <c r="J262">
        <v>7</v>
      </c>
      <c r="K262" t="s">
        <v>440</v>
      </c>
      <c r="L262">
        <v>60</v>
      </c>
      <c r="M262" t="s">
        <v>439</v>
      </c>
    </row>
    <row r="263" spans="1:13" x14ac:dyDescent="0.45">
      <c r="A263" t="s">
        <v>294</v>
      </c>
      <c r="B263" t="s">
        <v>10</v>
      </c>
      <c r="C263" t="s">
        <v>26</v>
      </c>
      <c r="D263" t="s">
        <v>16</v>
      </c>
      <c r="E263" t="s">
        <v>17</v>
      </c>
      <c r="F263">
        <v>4</v>
      </c>
      <c r="G263" t="s">
        <v>450</v>
      </c>
      <c r="H263" s="1">
        <v>1665</v>
      </c>
      <c r="I263" s="1" t="s">
        <v>434</v>
      </c>
      <c r="J263">
        <v>2</v>
      </c>
      <c r="K263" t="s">
        <v>464</v>
      </c>
      <c r="L263">
        <v>91</v>
      </c>
      <c r="M263" t="s">
        <v>433</v>
      </c>
    </row>
    <row r="264" spans="1:13" x14ac:dyDescent="0.45">
      <c r="A264" t="s">
        <v>295</v>
      </c>
      <c r="B264" t="s">
        <v>49</v>
      </c>
      <c r="C264" t="s">
        <v>26</v>
      </c>
      <c r="D264" t="s">
        <v>60</v>
      </c>
      <c r="E264" t="s">
        <v>13</v>
      </c>
      <c r="F264">
        <v>54</v>
      </c>
      <c r="G264" t="s">
        <v>441</v>
      </c>
      <c r="H264" s="1">
        <v>6063</v>
      </c>
      <c r="I264" s="1" t="s">
        <v>437</v>
      </c>
      <c r="J264">
        <v>2</v>
      </c>
      <c r="K264" t="s">
        <v>464</v>
      </c>
      <c r="L264">
        <v>81</v>
      </c>
      <c r="M264" t="s">
        <v>445</v>
      </c>
    </row>
    <row r="265" spans="1:13" x14ac:dyDescent="0.45">
      <c r="A265" t="s">
        <v>296</v>
      </c>
      <c r="B265" t="s">
        <v>10</v>
      </c>
      <c r="C265" t="s">
        <v>26</v>
      </c>
      <c r="D265" t="s">
        <v>27</v>
      </c>
      <c r="E265" t="s">
        <v>17</v>
      </c>
      <c r="F265">
        <v>88</v>
      </c>
      <c r="G265" t="s">
        <v>438</v>
      </c>
      <c r="H265" s="1">
        <v>4326</v>
      </c>
      <c r="I265" s="1" t="s">
        <v>437</v>
      </c>
      <c r="J265">
        <v>6</v>
      </c>
      <c r="K265" t="s">
        <v>436</v>
      </c>
      <c r="L265">
        <v>79</v>
      </c>
      <c r="M265" t="s">
        <v>445</v>
      </c>
    </row>
    <row r="266" spans="1:13" x14ac:dyDescent="0.45">
      <c r="A266" t="s">
        <v>297</v>
      </c>
      <c r="B266" t="s">
        <v>15</v>
      </c>
      <c r="C266" t="s">
        <v>11</v>
      </c>
      <c r="D266" t="s">
        <v>42</v>
      </c>
      <c r="E266" t="s">
        <v>17</v>
      </c>
      <c r="F266">
        <v>62</v>
      </c>
      <c r="G266" t="s">
        <v>438</v>
      </c>
      <c r="H266" s="1">
        <v>12609</v>
      </c>
      <c r="I266" s="1" t="s">
        <v>451</v>
      </c>
      <c r="J266">
        <v>8</v>
      </c>
      <c r="K266" t="s">
        <v>440</v>
      </c>
      <c r="L266">
        <v>71</v>
      </c>
      <c r="M266" t="s">
        <v>445</v>
      </c>
    </row>
    <row r="267" spans="1:13" x14ac:dyDescent="0.45">
      <c r="A267" t="s">
        <v>298</v>
      </c>
      <c r="B267" t="s">
        <v>19</v>
      </c>
      <c r="C267" t="s">
        <v>40</v>
      </c>
      <c r="D267" t="s">
        <v>29</v>
      </c>
      <c r="E267" t="s">
        <v>13</v>
      </c>
      <c r="F267">
        <v>41</v>
      </c>
      <c r="G267" t="s">
        <v>446</v>
      </c>
      <c r="H267" s="1">
        <v>3329</v>
      </c>
      <c r="I267" s="1" t="s">
        <v>437</v>
      </c>
      <c r="J267">
        <v>4</v>
      </c>
      <c r="K267" t="s">
        <v>436</v>
      </c>
      <c r="L267">
        <v>58</v>
      </c>
      <c r="M267" t="s">
        <v>439</v>
      </c>
    </row>
    <row r="268" spans="1:13" x14ac:dyDescent="0.45">
      <c r="A268" t="s">
        <v>299</v>
      </c>
      <c r="B268" t="s">
        <v>49</v>
      </c>
      <c r="C268" t="s">
        <v>26</v>
      </c>
      <c r="D268" t="s">
        <v>20</v>
      </c>
      <c r="E268" t="s">
        <v>13</v>
      </c>
      <c r="F268">
        <v>41</v>
      </c>
      <c r="G268" t="s">
        <v>446</v>
      </c>
      <c r="H268" s="1">
        <v>2980</v>
      </c>
      <c r="I268" s="1" t="s">
        <v>434</v>
      </c>
      <c r="J268">
        <v>9</v>
      </c>
      <c r="K268" t="s">
        <v>440</v>
      </c>
      <c r="L268">
        <v>57</v>
      </c>
      <c r="M268" t="s">
        <v>439</v>
      </c>
    </row>
    <row r="269" spans="1:13" x14ac:dyDescent="0.45">
      <c r="A269" t="s">
        <v>300</v>
      </c>
      <c r="B269" t="s">
        <v>44</v>
      </c>
      <c r="C269" t="s">
        <v>23</v>
      </c>
      <c r="D269" t="s">
        <v>60</v>
      </c>
      <c r="E269" t="s">
        <v>17</v>
      </c>
      <c r="F269">
        <v>7</v>
      </c>
      <c r="G269" t="s">
        <v>449</v>
      </c>
      <c r="H269" s="1">
        <v>794</v>
      </c>
      <c r="I269" s="1" t="s">
        <v>434</v>
      </c>
      <c r="J269">
        <v>2</v>
      </c>
      <c r="K269" t="s">
        <v>464</v>
      </c>
      <c r="L269">
        <v>89</v>
      </c>
      <c r="M269" t="s">
        <v>433</v>
      </c>
    </row>
    <row r="270" spans="1:13" x14ac:dyDescent="0.45">
      <c r="A270" t="s">
        <v>301</v>
      </c>
      <c r="B270" t="s">
        <v>25</v>
      </c>
      <c r="C270" t="s">
        <v>40</v>
      </c>
      <c r="D270" t="s">
        <v>42</v>
      </c>
      <c r="E270" t="s">
        <v>13</v>
      </c>
      <c r="F270">
        <v>74</v>
      </c>
      <c r="G270" t="s">
        <v>438</v>
      </c>
      <c r="H270" s="1">
        <v>3061</v>
      </c>
      <c r="I270" s="1" t="s">
        <v>437</v>
      </c>
      <c r="J270">
        <v>2</v>
      </c>
      <c r="K270" t="s">
        <v>464</v>
      </c>
      <c r="L270">
        <v>98</v>
      </c>
      <c r="M270" t="s">
        <v>433</v>
      </c>
    </row>
    <row r="271" spans="1:13" x14ac:dyDescent="0.45">
      <c r="A271" t="s">
        <v>302</v>
      </c>
      <c r="B271" t="s">
        <v>22</v>
      </c>
      <c r="C271" t="s">
        <v>23</v>
      </c>
      <c r="D271" t="s">
        <v>20</v>
      </c>
      <c r="E271" t="s">
        <v>17</v>
      </c>
      <c r="F271">
        <v>40</v>
      </c>
      <c r="G271" t="s">
        <v>446</v>
      </c>
      <c r="H271" s="1">
        <v>1218</v>
      </c>
      <c r="I271" s="1" t="s">
        <v>434</v>
      </c>
      <c r="J271">
        <v>1</v>
      </c>
      <c r="K271" t="s">
        <v>464</v>
      </c>
      <c r="L271">
        <v>55</v>
      </c>
      <c r="M271" t="s">
        <v>439</v>
      </c>
    </row>
    <row r="272" spans="1:13" x14ac:dyDescent="0.45">
      <c r="A272" t="s">
        <v>303</v>
      </c>
      <c r="B272" t="s">
        <v>25</v>
      </c>
      <c r="C272" t="s">
        <v>23</v>
      </c>
      <c r="D272" t="s">
        <v>60</v>
      </c>
      <c r="E272" t="s">
        <v>17</v>
      </c>
      <c r="F272">
        <v>46</v>
      </c>
      <c r="G272" t="s">
        <v>441</v>
      </c>
      <c r="H272" s="1">
        <v>299</v>
      </c>
      <c r="I272" s="1" t="s">
        <v>434</v>
      </c>
      <c r="J272">
        <v>1</v>
      </c>
      <c r="K272" t="s">
        <v>464</v>
      </c>
      <c r="L272">
        <v>68</v>
      </c>
      <c r="M272" t="s">
        <v>439</v>
      </c>
    </row>
    <row r="273" spans="1:13" x14ac:dyDescent="0.45">
      <c r="A273" t="s">
        <v>304</v>
      </c>
      <c r="B273" t="s">
        <v>25</v>
      </c>
      <c r="C273" t="s">
        <v>23</v>
      </c>
      <c r="D273" t="s">
        <v>27</v>
      </c>
      <c r="E273" t="s">
        <v>13</v>
      </c>
      <c r="F273">
        <v>14</v>
      </c>
      <c r="G273" t="s">
        <v>447</v>
      </c>
      <c r="H273" s="1">
        <v>1082</v>
      </c>
      <c r="I273" s="1" t="s">
        <v>434</v>
      </c>
      <c r="J273">
        <v>1</v>
      </c>
      <c r="K273" t="s">
        <v>464</v>
      </c>
      <c r="L273">
        <v>66</v>
      </c>
      <c r="M273" t="s">
        <v>439</v>
      </c>
    </row>
    <row r="274" spans="1:13" x14ac:dyDescent="0.45">
      <c r="A274" t="s">
        <v>305</v>
      </c>
      <c r="B274" t="s">
        <v>10</v>
      </c>
      <c r="C274" t="s">
        <v>26</v>
      </c>
      <c r="D274" t="s">
        <v>47</v>
      </c>
      <c r="E274" t="s">
        <v>17</v>
      </c>
      <c r="F274">
        <v>52</v>
      </c>
      <c r="G274" t="s">
        <v>441</v>
      </c>
      <c r="H274" s="1">
        <v>1419</v>
      </c>
      <c r="I274" s="1" t="s">
        <v>434</v>
      </c>
      <c r="J274">
        <v>10</v>
      </c>
      <c r="K274" t="s">
        <v>443</v>
      </c>
      <c r="L274">
        <v>62</v>
      </c>
      <c r="M274" t="s">
        <v>439</v>
      </c>
    </row>
    <row r="275" spans="1:13" x14ac:dyDescent="0.45">
      <c r="A275" t="s">
        <v>306</v>
      </c>
      <c r="B275" t="s">
        <v>44</v>
      </c>
      <c r="C275" t="s">
        <v>26</v>
      </c>
      <c r="D275" t="s">
        <v>31</v>
      </c>
      <c r="E275" t="s">
        <v>17</v>
      </c>
      <c r="F275">
        <v>58</v>
      </c>
      <c r="G275" t="s">
        <v>441</v>
      </c>
      <c r="H275" s="1">
        <v>5504</v>
      </c>
      <c r="I275" s="1" t="s">
        <v>437</v>
      </c>
      <c r="J275">
        <v>6</v>
      </c>
      <c r="K275" t="s">
        <v>436</v>
      </c>
      <c r="L275">
        <v>89</v>
      </c>
      <c r="M275" t="s">
        <v>445</v>
      </c>
    </row>
    <row r="276" spans="1:13" x14ac:dyDescent="0.45">
      <c r="A276" t="s">
        <v>307</v>
      </c>
      <c r="B276" t="s">
        <v>10</v>
      </c>
      <c r="C276" t="s">
        <v>11</v>
      </c>
      <c r="D276" t="s">
        <v>42</v>
      </c>
      <c r="E276" t="s">
        <v>13</v>
      </c>
      <c r="F276">
        <v>51</v>
      </c>
      <c r="G276" t="s">
        <v>441</v>
      </c>
      <c r="H276" s="1">
        <v>11114</v>
      </c>
      <c r="I276" s="1" t="s">
        <v>451</v>
      </c>
      <c r="J276">
        <v>10</v>
      </c>
      <c r="K276" t="s">
        <v>443</v>
      </c>
      <c r="L276">
        <v>85</v>
      </c>
      <c r="M276" t="s">
        <v>439</v>
      </c>
    </row>
    <row r="277" spans="1:13" x14ac:dyDescent="0.45">
      <c r="A277" t="s">
        <v>308</v>
      </c>
      <c r="B277" t="s">
        <v>44</v>
      </c>
      <c r="C277" t="s">
        <v>40</v>
      </c>
      <c r="D277" t="s">
        <v>60</v>
      </c>
      <c r="E277" t="s">
        <v>13</v>
      </c>
      <c r="F277">
        <v>52</v>
      </c>
      <c r="G277" t="s">
        <v>441</v>
      </c>
      <c r="H277" s="1">
        <v>4596</v>
      </c>
      <c r="I277" s="1" t="s">
        <v>437</v>
      </c>
      <c r="J277">
        <v>1</v>
      </c>
      <c r="K277" t="s">
        <v>464</v>
      </c>
      <c r="L277">
        <v>52</v>
      </c>
      <c r="M277" t="s">
        <v>439</v>
      </c>
    </row>
    <row r="278" spans="1:13" x14ac:dyDescent="0.45">
      <c r="A278" t="s">
        <v>309</v>
      </c>
      <c r="B278" t="s">
        <v>15</v>
      </c>
      <c r="C278" t="s">
        <v>40</v>
      </c>
      <c r="D278" t="s">
        <v>29</v>
      </c>
      <c r="E278" t="s">
        <v>13</v>
      </c>
      <c r="F278">
        <v>67</v>
      </c>
      <c r="G278" t="s">
        <v>438</v>
      </c>
      <c r="H278" s="1">
        <v>4243</v>
      </c>
      <c r="I278" s="1" t="s">
        <v>437</v>
      </c>
      <c r="J278">
        <v>2</v>
      </c>
      <c r="K278" t="s">
        <v>464</v>
      </c>
      <c r="L278">
        <v>88</v>
      </c>
      <c r="M278" t="s">
        <v>433</v>
      </c>
    </row>
    <row r="279" spans="1:13" x14ac:dyDescent="0.45">
      <c r="A279" t="s">
        <v>310</v>
      </c>
      <c r="B279" t="s">
        <v>19</v>
      </c>
      <c r="C279" t="s">
        <v>40</v>
      </c>
      <c r="D279" t="s">
        <v>29</v>
      </c>
      <c r="E279" t="s">
        <v>13</v>
      </c>
      <c r="F279">
        <v>41</v>
      </c>
      <c r="G279" t="s">
        <v>446</v>
      </c>
      <c r="H279" s="1">
        <v>1831</v>
      </c>
      <c r="I279" s="1" t="s">
        <v>434</v>
      </c>
      <c r="J279">
        <v>4</v>
      </c>
      <c r="K279" t="s">
        <v>436</v>
      </c>
      <c r="L279">
        <v>89</v>
      </c>
      <c r="M279" t="s">
        <v>433</v>
      </c>
    </row>
    <row r="280" spans="1:13" x14ac:dyDescent="0.45">
      <c r="A280" t="s">
        <v>311</v>
      </c>
      <c r="B280" t="s">
        <v>10</v>
      </c>
      <c r="C280" t="s">
        <v>26</v>
      </c>
      <c r="D280" t="s">
        <v>16</v>
      </c>
      <c r="E280" t="s">
        <v>17</v>
      </c>
      <c r="F280">
        <v>66</v>
      </c>
      <c r="G280" t="s">
        <v>438</v>
      </c>
      <c r="H280" s="1">
        <v>5360</v>
      </c>
      <c r="I280" s="1" t="s">
        <v>437</v>
      </c>
      <c r="J280">
        <v>9</v>
      </c>
      <c r="K280" t="s">
        <v>440</v>
      </c>
      <c r="L280">
        <v>95</v>
      </c>
      <c r="M280" t="s">
        <v>445</v>
      </c>
    </row>
    <row r="281" spans="1:13" x14ac:dyDescent="0.45">
      <c r="A281" t="s">
        <v>312</v>
      </c>
      <c r="B281" t="s">
        <v>19</v>
      </c>
      <c r="C281" t="s">
        <v>26</v>
      </c>
      <c r="D281" t="s">
        <v>34</v>
      </c>
      <c r="E281" t="s">
        <v>13</v>
      </c>
      <c r="F281">
        <v>48</v>
      </c>
      <c r="G281" t="s">
        <v>441</v>
      </c>
      <c r="H281" s="1">
        <v>3713</v>
      </c>
      <c r="I281" s="1" t="s">
        <v>437</v>
      </c>
      <c r="J281">
        <v>3</v>
      </c>
      <c r="K281" t="s">
        <v>464</v>
      </c>
      <c r="L281">
        <v>76</v>
      </c>
      <c r="M281" t="s">
        <v>445</v>
      </c>
    </row>
    <row r="282" spans="1:13" x14ac:dyDescent="0.45">
      <c r="A282" t="s">
        <v>313</v>
      </c>
      <c r="B282" t="s">
        <v>19</v>
      </c>
      <c r="C282" t="s">
        <v>26</v>
      </c>
      <c r="D282" t="s">
        <v>12</v>
      </c>
      <c r="E282" t="s">
        <v>13</v>
      </c>
      <c r="F282">
        <v>34</v>
      </c>
      <c r="G282" t="s">
        <v>446</v>
      </c>
      <c r="H282" s="1">
        <v>6370</v>
      </c>
      <c r="I282" s="1" t="s">
        <v>437</v>
      </c>
      <c r="J282">
        <v>5</v>
      </c>
      <c r="K282" t="s">
        <v>436</v>
      </c>
      <c r="L282">
        <v>96</v>
      </c>
      <c r="M282" t="s">
        <v>433</v>
      </c>
    </row>
    <row r="283" spans="1:13" x14ac:dyDescent="0.45">
      <c r="A283" t="s">
        <v>314</v>
      </c>
      <c r="B283" t="s">
        <v>15</v>
      </c>
      <c r="C283" t="s">
        <v>23</v>
      </c>
      <c r="D283" t="s">
        <v>42</v>
      </c>
      <c r="E283" t="s">
        <v>13</v>
      </c>
      <c r="F283">
        <v>80</v>
      </c>
      <c r="G283" t="s">
        <v>438</v>
      </c>
      <c r="H283" s="1">
        <v>1786</v>
      </c>
      <c r="I283" s="1" t="s">
        <v>434</v>
      </c>
      <c r="J283">
        <v>2</v>
      </c>
      <c r="K283" t="s">
        <v>464</v>
      </c>
      <c r="L283">
        <v>59</v>
      </c>
      <c r="M283" t="s">
        <v>439</v>
      </c>
    </row>
    <row r="284" spans="1:13" x14ac:dyDescent="0.45">
      <c r="A284" t="s">
        <v>315</v>
      </c>
      <c r="B284" t="s">
        <v>49</v>
      </c>
      <c r="C284" t="s">
        <v>40</v>
      </c>
      <c r="D284" t="s">
        <v>12</v>
      </c>
      <c r="E284" t="s">
        <v>13</v>
      </c>
      <c r="F284">
        <v>90</v>
      </c>
      <c r="G284" t="s">
        <v>438</v>
      </c>
      <c r="H284" s="1">
        <v>1400</v>
      </c>
      <c r="I284" s="1" t="s">
        <v>434</v>
      </c>
      <c r="J284">
        <v>2</v>
      </c>
      <c r="K284" t="s">
        <v>464</v>
      </c>
      <c r="L284">
        <v>51</v>
      </c>
      <c r="M284" t="s">
        <v>439</v>
      </c>
    </row>
    <row r="285" spans="1:13" x14ac:dyDescent="0.45">
      <c r="A285" t="s">
        <v>316</v>
      </c>
      <c r="B285" t="s">
        <v>25</v>
      </c>
      <c r="C285" t="s">
        <v>26</v>
      </c>
      <c r="D285" t="s">
        <v>47</v>
      </c>
      <c r="E285" t="s">
        <v>17</v>
      </c>
      <c r="F285">
        <v>89</v>
      </c>
      <c r="G285" t="s">
        <v>438</v>
      </c>
      <c r="H285" s="1">
        <v>2670</v>
      </c>
      <c r="I285" s="1" t="s">
        <v>434</v>
      </c>
      <c r="J285">
        <v>8</v>
      </c>
      <c r="K285" t="s">
        <v>440</v>
      </c>
      <c r="L285">
        <v>82</v>
      </c>
      <c r="M285" t="s">
        <v>445</v>
      </c>
    </row>
    <row r="286" spans="1:13" x14ac:dyDescent="0.45">
      <c r="A286" t="s">
        <v>317</v>
      </c>
      <c r="B286" t="s">
        <v>49</v>
      </c>
      <c r="C286" t="s">
        <v>23</v>
      </c>
      <c r="D286" t="s">
        <v>12</v>
      </c>
      <c r="E286" t="s">
        <v>13</v>
      </c>
      <c r="F286">
        <v>67</v>
      </c>
      <c r="G286" t="s">
        <v>438</v>
      </c>
      <c r="H286" s="1">
        <v>624</v>
      </c>
      <c r="I286" s="1" t="s">
        <v>434</v>
      </c>
      <c r="J286">
        <v>3</v>
      </c>
      <c r="K286" t="s">
        <v>464</v>
      </c>
      <c r="L286">
        <v>70</v>
      </c>
      <c r="M286" t="s">
        <v>445</v>
      </c>
    </row>
    <row r="287" spans="1:13" x14ac:dyDescent="0.45">
      <c r="A287" t="s">
        <v>318</v>
      </c>
      <c r="B287" t="s">
        <v>10</v>
      </c>
      <c r="C287" t="s">
        <v>23</v>
      </c>
      <c r="D287" t="s">
        <v>20</v>
      </c>
      <c r="E287" t="s">
        <v>17</v>
      </c>
      <c r="F287">
        <v>23</v>
      </c>
      <c r="G287" t="s">
        <v>435</v>
      </c>
      <c r="H287" s="1">
        <v>1141</v>
      </c>
      <c r="I287" s="1" t="s">
        <v>434</v>
      </c>
      <c r="J287">
        <v>3</v>
      </c>
      <c r="K287" t="s">
        <v>464</v>
      </c>
      <c r="L287">
        <v>71</v>
      </c>
      <c r="M287" t="s">
        <v>445</v>
      </c>
    </row>
    <row r="288" spans="1:13" x14ac:dyDescent="0.45">
      <c r="A288" t="s">
        <v>319</v>
      </c>
      <c r="B288" t="s">
        <v>19</v>
      </c>
      <c r="C288" t="s">
        <v>26</v>
      </c>
      <c r="D288" t="s">
        <v>27</v>
      </c>
      <c r="E288" t="s">
        <v>13</v>
      </c>
      <c r="F288">
        <v>25</v>
      </c>
      <c r="G288" t="s">
        <v>435</v>
      </c>
      <c r="H288" s="1">
        <v>3019</v>
      </c>
      <c r="I288" s="1" t="s">
        <v>437</v>
      </c>
      <c r="J288">
        <v>6</v>
      </c>
      <c r="K288" t="s">
        <v>436</v>
      </c>
      <c r="L288">
        <v>85</v>
      </c>
      <c r="M288" t="s">
        <v>445</v>
      </c>
    </row>
    <row r="289" spans="1:13" x14ac:dyDescent="0.45">
      <c r="A289" t="s">
        <v>320</v>
      </c>
      <c r="B289" t="s">
        <v>44</v>
      </c>
      <c r="C289" t="s">
        <v>40</v>
      </c>
      <c r="D289" t="s">
        <v>27</v>
      </c>
      <c r="E289" t="s">
        <v>13</v>
      </c>
      <c r="F289">
        <v>27</v>
      </c>
      <c r="G289" t="s">
        <v>435</v>
      </c>
      <c r="H289" s="1">
        <v>4505</v>
      </c>
      <c r="I289" s="1" t="s">
        <v>437</v>
      </c>
      <c r="J289">
        <v>3</v>
      </c>
      <c r="K289" t="s">
        <v>464</v>
      </c>
      <c r="L289">
        <v>80</v>
      </c>
      <c r="M289" t="s">
        <v>445</v>
      </c>
    </row>
    <row r="290" spans="1:13" x14ac:dyDescent="0.45">
      <c r="A290" t="s">
        <v>321</v>
      </c>
      <c r="B290" t="s">
        <v>44</v>
      </c>
      <c r="C290" t="s">
        <v>26</v>
      </c>
      <c r="D290" t="s">
        <v>27</v>
      </c>
      <c r="E290" t="s">
        <v>17</v>
      </c>
      <c r="F290">
        <v>87</v>
      </c>
      <c r="G290" t="s">
        <v>438</v>
      </c>
      <c r="H290" s="1">
        <v>5449</v>
      </c>
      <c r="I290" s="1" t="s">
        <v>437</v>
      </c>
      <c r="J290">
        <v>8</v>
      </c>
      <c r="K290" t="s">
        <v>440</v>
      </c>
      <c r="L290">
        <v>75</v>
      </c>
      <c r="M290" t="s">
        <v>445</v>
      </c>
    </row>
    <row r="291" spans="1:13" x14ac:dyDescent="0.45">
      <c r="A291" t="s">
        <v>322</v>
      </c>
      <c r="B291" t="s">
        <v>49</v>
      </c>
      <c r="C291" t="s">
        <v>26</v>
      </c>
      <c r="D291" t="s">
        <v>42</v>
      </c>
      <c r="E291" t="s">
        <v>17</v>
      </c>
      <c r="F291">
        <v>37</v>
      </c>
      <c r="G291" t="s">
        <v>446</v>
      </c>
      <c r="H291" s="1">
        <v>6850</v>
      </c>
      <c r="I291" s="1" t="s">
        <v>437</v>
      </c>
      <c r="J291">
        <v>3</v>
      </c>
      <c r="K291" t="s">
        <v>464</v>
      </c>
      <c r="L291">
        <v>72</v>
      </c>
      <c r="M291" t="s">
        <v>445</v>
      </c>
    </row>
    <row r="292" spans="1:13" x14ac:dyDescent="0.45">
      <c r="A292" t="s">
        <v>323</v>
      </c>
      <c r="B292" t="s">
        <v>25</v>
      </c>
      <c r="C292" t="s">
        <v>26</v>
      </c>
      <c r="D292" t="s">
        <v>34</v>
      </c>
      <c r="E292" t="s">
        <v>17</v>
      </c>
      <c r="F292">
        <v>69</v>
      </c>
      <c r="G292" t="s">
        <v>438</v>
      </c>
      <c r="H292" s="1">
        <v>3221</v>
      </c>
      <c r="I292" s="1" t="s">
        <v>437</v>
      </c>
      <c r="J292">
        <v>10</v>
      </c>
      <c r="K292" t="s">
        <v>443</v>
      </c>
      <c r="L292">
        <v>94</v>
      </c>
      <c r="M292" t="s">
        <v>439</v>
      </c>
    </row>
    <row r="293" spans="1:13" x14ac:dyDescent="0.45">
      <c r="A293" t="s">
        <v>324</v>
      </c>
      <c r="B293" t="s">
        <v>44</v>
      </c>
      <c r="C293" t="s">
        <v>40</v>
      </c>
      <c r="D293" t="s">
        <v>31</v>
      </c>
      <c r="E293" t="s">
        <v>13</v>
      </c>
      <c r="F293">
        <v>76</v>
      </c>
      <c r="G293" t="s">
        <v>438</v>
      </c>
      <c r="H293" s="1">
        <v>2460</v>
      </c>
      <c r="I293" s="1" t="s">
        <v>434</v>
      </c>
      <c r="J293">
        <v>2</v>
      </c>
      <c r="K293" t="s">
        <v>464</v>
      </c>
      <c r="L293">
        <v>53</v>
      </c>
      <c r="M293" t="s">
        <v>439</v>
      </c>
    </row>
    <row r="294" spans="1:13" x14ac:dyDescent="0.45">
      <c r="A294" t="s">
        <v>325</v>
      </c>
      <c r="B294" t="s">
        <v>10</v>
      </c>
      <c r="C294" t="s">
        <v>40</v>
      </c>
      <c r="D294" t="s">
        <v>60</v>
      </c>
      <c r="E294" t="s">
        <v>17</v>
      </c>
      <c r="F294">
        <v>53</v>
      </c>
      <c r="G294" t="s">
        <v>441</v>
      </c>
      <c r="H294" s="1">
        <v>3205</v>
      </c>
      <c r="I294" s="1" t="s">
        <v>437</v>
      </c>
      <c r="J294">
        <v>4</v>
      </c>
      <c r="K294" t="s">
        <v>436</v>
      </c>
      <c r="L294">
        <v>56</v>
      </c>
      <c r="M294" t="s">
        <v>439</v>
      </c>
    </row>
    <row r="295" spans="1:13" x14ac:dyDescent="0.45">
      <c r="A295" t="s">
        <v>326</v>
      </c>
      <c r="B295" t="s">
        <v>10</v>
      </c>
      <c r="C295" t="s">
        <v>40</v>
      </c>
      <c r="D295" t="s">
        <v>12</v>
      </c>
      <c r="E295" t="s">
        <v>13</v>
      </c>
      <c r="F295">
        <v>21</v>
      </c>
      <c r="G295" t="s">
        <v>435</v>
      </c>
      <c r="H295" s="1">
        <v>3833</v>
      </c>
      <c r="I295" s="1" t="s">
        <v>437</v>
      </c>
      <c r="J295">
        <v>4</v>
      </c>
      <c r="K295" t="s">
        <v>436</v>
      </c>
      <c r="L295">
        <v>80</v>
      </c>
      <c r="M295" t="s">
        <v>445</v>
      </c>
    </row>
    <row r="296" spans="1:13" x14ac:dyDescent="0.45">
      <c r="A296" t="s">
        <v>327</v>
      </c>
      <c r="B296" t="s">
        <v>10</v>
      </c>
      <c r="C296" t="s">
        <v>40</v>
      </c>
      <c r="D296" t="s">
        <v>27</v>
      </c>
      <c r="E296" t="s">
        <v>17</v>
      </c>
      <c r="F296">
        <v>83</v>
      </c>
      <c r="G296" t="s">
        <v>438</v>
      </c>
      <c r="H296" s="1">
        <v>984</v>
      </c>
      <c r="I296" s="1" t="s">
        <v>434</v>
      </c>
      <c r="J296">
        <v>1</v>
      </c>
      <c r="K296" t="s">
        <v>464</v>
      </c>
      <c r="L296">
        <v>91</v>
      </c>
      <c r="M296" t="s">
        <v>433</v>
      </c>
    </row>
    <row r="297" spans="1:13" x14ac:dyDescent="0.45">
      <c r="A297" t="s">
        <v>328</v>
      </c>
      <c r="B297" t="s">
        <v>19</v>
      </c>
      <c r="C297" t="s">
        <v>40</v>
      </c>
      <c r="D297" t="s">
        <v>20</v>
      </c>
      <c r="E297" t="s">
        <v>13</v>
      </c>
      <c r="F297">
        <v>5</v>
      </c>
      <c r="G297" t="s">
        <v>450</v>
      </c>
      <c r="H297" s="1">
        <v>1934</v>
      </c>
      <c r="I297" s="1" t="s">
        <v>434</v>
      </c>
      <c r="J297">
        <v>4</v>
      </c>
      <c r="K297" t="s">
        <v>436</v>
      </c>
      <c r="L297">
        <v>61</v>
      </c>
      <c r="M297" t="s">
        <v>439</v>
      </c>
    </row>
    <row r="298" spans="1:13" x14ac:dyDescent="0.45">
      <c r="A298" t="s">
        <v>329</v>
      </c>
      <c r="B298" t="s">
        <v>15</v>
      </c>
      <c r="C298" t="s">
        <v>23</v>
      </c>
      <c r="D298" t="s">
        <v>34</v>
      </c>
      <c r="E298" t="s">
        <v>17</v>
      </c>
      <c r="F298">
        <v>38</v>
      </c>
      <c r="G298" t="s">
        <v>446</v>
      </c>
      <c r="H298" s="1">
        <v>1995</v>
      </c>
      <c r="I298" s="1" t="s">
        <v>434</v>
      </c>
      <c r="J298">
        <v>1</v>
      </c>
      <c r="K298" t="s">
        <v>464</v>
      </c>
      <c r="L298">
        <v>50</v>
      </c>
      <c r="M298" t="s">
        <v>439</v>
      </c>
    </row>
    <row r="299" spans="1:13" x14ac:dyDescent="0.45">
      <c r="A299" t="s">
        <v>330</v>
      </c>
      <c r="B299" t="s">
        <v>44</v>
      </c>
      <c r="C299" t="s">
        <v>11</v>
      </c>
      <c r="D299" t="s">
        <v>29</v>
      </c>
      <c r="E299" t="s">
        <v>17</v>
      </c>
      <c r="F299">
        <v>83</v>
      </c>
      <c r="G299" t="s">
        <v>438</v>
      </c>
      <c r="H299" s="1">
        <v>13901</v>
      </c>
      <c r="I299" s="1" t="s">
        <v>451</v>
      </c>
      <c r="J299">
        <v>13</v>
      </c>
      <c r="K299" t="s">
        <v>463</v>
      </c>
      <c r="L299">
        <v>81</v>
      </c>
      <c r="M299" t="s">
        <v>442</v>
      </c>
    </row>
    <row r="300" spans="1:13" x14ac:dyDescent="0.45">
      <c r="A300" t="s">
        <v>331</v>
      </c>
      <c r="B300" t="s">
        <v>22</v>
      </c>
      <c r="C300" t="s">
        <v>23</v>
      </c>
      <c r="D300" t="s">
        <v>27</v>
      </c>
      <c r="E300" t="s">
        <v>17</v>
      </c>
      <c r="F300">
        <v>15</v>
      </c>
      <c r="G300" t="s">
        <v>447</v>
      </c>
      <c r="H300" s="1">
        <v>877</v>
      </c>
      <c r="I300" s="1" t="s">
        <v>434</v>
      </c>
      <c r="J300">
        <v>1</v>
      </c>
      <c r="K300" t="s">
        <v>464</v>
      </c>
      <c r="L300">
        <v>96</v>
      </c>
      <c r="M300" t="s">
        <v>433</v>
      </c>
    </row>
    <row r="301" spans="1:13" x14ac:dyDescent="0.45">
      <c r="A301" t="s">
        <v>332</v>
      </c>
      <c r="B301" t="s">
        <v>25</v>
      </c>
      <c r="C301" t="s">
        <v>26</v>
      </c>
      <c r="D301" t="s">
        <v>42</v>
      </c>
      <c r="E301" t="s">
        <v>17</v>
      </c>
      <c r="F301">
        <v>44</v>
      </c>
      <c r="G301" t="s">
        <v>446</v>
      </c>
      <c r="H301" s="1">
        <v>3416</v>
      </c>
      <c r="I301" s="1" t="s">
        <v>437</v>
      </c>
      <c r="J301">
        <v>5</v>
      </c>
      <c r="K301" t="s">
        <v>436</v>
      </c>
      <c r="L301">
        <v>61</v>
      </c>
      <c r="M301" t="s">
        <v>439</v>
      </c>
    </row>
    <row r="302" spans="1:13" x14ac:dyDescent="0.45">
      <c r="A302" t="s">
        <v>333</v>
      </c>
      <c r="B302" t="s">
        <v>19</v>
      </c>
      <c r="C302" t="s">
        <v>23</v>
      </c>
      <c r="D302" t="s">
        <v>47</v>
      </c>
      <c r="E302" t="s">
        <v>13</v>
      </c>
      <c r="F302">
        <v>12</v>
      </c>
      <c r="G302" t="s">
        <v>449</v>
      </c>
      <c r="H302" s="1">
        <v>1020</v>
      </c>
      <c r="I302" s="1" t="s">
        <v>434</v>
      </c>
      <c r="J302">
        <v>3</v>
      </c>
      <c r="K302" t="s">
        <v>464</v>
      </c>
      <c r="L302">
        <v>56</v>
      </c>
      <c r="M302" t="s">
        <v>439</v>
      </c>
    </row>
    <row r="303" spans="1:13" x14ac:dyDescent="0.45">
      <c r="A303" t="s">
        <v>334</v>
      </c>
      <c r="B303" t="s">
        <v>22</v>
      </c>
      <c r="C303" t="s">
        <v>40</v>
      </c>
      <c r="D303" t="s">
        <v>34</v>
      </c>
      <c r="E303" t="s">
        <v>17</v>
      </c>
      <c r="F303">
        <v>32</v>
      </c>
      <c r="G303" t="s">
        <v>446</v>
      </c>
      <c r="H303" s="1">
        <v>555</v>
      </c>
      <c r="I303" s="1" t="s">
        <v>434</v>
      </c>
      <c r="J303">
        <v>3</v>
      </c>
      <c r="K303" t="s">
        <v>464</v>
      </c>
      <c r="L303">
        <v>74</v>
      </c>
      <c r="M303" t="s">
        <v>445</v>
      </c>
    </row>
    <row r="304" spans="1:13" x14ac:dyDescent="0.45">
      <c r="A304" t="s">
        <v>335</v>
      </c>
      <c r="B304" t="s">
        <v>22</v>
      </c>
      <c r="C304" t="s">
        <v>23</v>
      </c>
      <c r="D304" t="s">
        <v>27</v>
      </c>
      <c r="E304" t="s">
        <v>13</v>
      </c>
      <c r="F304">
        <v>39</v>
      </c>
      <c r="G304" t="s">
        <v>446</v>
      </c>
      <c r="H304" s="1">
        <v>1392</v>
      </c>
      <c r="I304" s="1" t="s">
        <v>434</v>
      </c>
      <c r="J304">
        <v>3</v>
      </c>
      <c r="K304" t="s">
        <v>464</v>
      </c>
      <c r="L304">
        <v>86</v>
      </c>
      <c r="M304" t="s">
        <v>433</v>
      </c>
    </row>
    <row r="305" spans="1:13" x14ac:dyDescent="0.45">
      <c r="A305" t="s">
        <v>336</v>
      </c>
      <c r="B305" t="s">
        <v>15</v>
      </c>
      <c r="C305" t="s">
        <v>26</v>
      </c>
      <c r="D305" t="s">
        <v>29</v>
      </c>
      <c r="E305" t="s">
        <v>13</v>
      </c>
      <c r="F305">
        <v>8</v>
      </c>
      <c r="G305" t="s">
        <v>449</v>
      </c>
      <c r="H305" s="1">
        <v>6470</v>
      </c>
      <c r="I305" s="1" t="s">
        <v>437</v>
      </c>
      <c r="J305">
        <v>3</v>
      </c>
      <c r="K305" t="s">
        <v>464</v>
      </c>
      <c r="L305">
        <v>79</v>
      </c>
      <c r="M305" t="s">
        <v>445</v>
      </c>
    </row>
    <row r="306" spans="1:13" x14ac:dyDescent="0.45">
      <c r="A306" t="s">
        <v>337</v>
      </c>
      <c r="B306" t="s">
        <v>44</v>
      </c>
      <c r="C306" t="s">
        <v>40</v>
      </c>
      <c r="D306" t="s">
        <v>47</v>
      </c>
      <c r="E306" t="s">
        <v>13</v>
      </c>
      <c r="F306">
        <v>40</v>
      </c>
      <c r="G306" t="s">
        <v>446</v>
      </c>
      <c r="H306" s="1">
        <v>1461</v>
      </c>
      <c r="I306" s="1" t="s">
        <v>434</v>
      </c>
      <c r="J306">
        <v>3</v>
      </c>
      <c r="K306" t="s">
        <v>464</v>
      </c>
      <c r="L306">
        <v>73</v>
      </c>
      <c r="M306" t="s">
        <v>445</v>
      </c>
    </row>
    <row r="307" spans="1:13" x14ac:dyDescent="0.45">
      <c r="A307" t="s">
        <v>338</v>
      </c>
      <c r="B307" t="s">
        <v>19</v>
      </c>
      <c r="C307" t="s">
        <v>40</v>
      </c>
      <c r="D307" t="s">
        <v>60</v>
      </c>
      <c r="E307" t="s">
        <v>13</v>
      </c>
      <c r="F307">
        <v>62</v>
      </c>
      <c r="G307" t="s">
        <v>438</v>
      </c>
      <c r="H307" s="1">
        <v>1754</v>
      </c>
      <c r="I307" s="1" t="s">
        <v>434</v>
      </c>
      <c r="J307">
        <v>4</v>
      </c>
      <c r="K307" t="s">
        <v>436</v>
      </c>
      <c r="L307">
        <v>97</v>
      </c>
      <c r="M307" t="s">
        <v>433</v>
      </c>
    </row>
    <row r="308" spans="1:13" x14ac:dyDescent="0.45">
      <c r="A308" t="s">
        <v>339</v>
      </c>
      <c r="B308" t="s">
        <v>19</v>
      </c>
      <c r="C308" t="s">
        <v>26</v>
      </c>
      <c r="D308" t="s">
        <v>47</v>
      </c>
      <c r="E308" t="s">
        <v>13</v>
      </c>
      <c r="F308">
        <v>61</v>
      </c>
      <c r="G308" t="s">
        <v>438</v>
      </c>
      <c r="H308" s="1">
        <v>5403</v>
      </c>
      <c r="I308" s="1" t="s">
        <v>437</v>
      </c>
      <c r="J308">
        <v>5</v>
      </c>
      <c r="K308" t="s">
        <v>436</v>
      </c>
      <c r="L308">
        <v>98</v>
      </c>
      <c r="M308" t="s">
        <v>433</v>
      </c>
    </row>
    <row r="309" spans="1:13" x14ac:dyDescent="0.45">
      <c r="A309" t="s">
        <v>340</v>
      </c>
      <c r="B309" t="s">
        <v>22</v>
      </c>
      <c r="C309" t="s">
        <v>11</v>
      </c>
      <c r="D309" t="s">
        <v>20</v>
      </c>
      <c r="E309" t="s">
        <v>17</v>
      </c>
      <c r="F309">
        <v>47</v>
      </c>
      <c r="G309" t="s">
        <v>441</v>
      </c>
      <c r="H309" s="1">
        <v>6279</v>
      </c>
      <c r="I309" s="1" t="s">
        <v>437</v>
      </c>
      <c r="J309">
        <v>14</v>
      </c>
      <c r="K309" t="s">
        <v>463</v>
      </c>
      <c r="L309">
        <v>57</v>
      </c>
      <c r="M309" t="s">
        <v>442</v>
      </c>
    </row>
    <row r="310" spans="1:13" x14ac:dyDescent="0.45">
      <c r="A310" t="s">
        <v>341</v>
      </c>
      <c r="B310" t="s">
        <v>15</v>
      </c>
      <c r="C310" t="s">
        <v>40</v>
      </c>
      <c r="D310" t="s">
        <v>16</v>
      </c>
      <c r="E310" t="s">
        <v>13</v>
      </c>
      <c r="F310">
        <v>22</v>
      </c>
      <c r="G310" t="s">
        <v>435</v>
      </c>
      <c r="H310" s="1">
        <v>3187</v>
      </c>
      <c r="I310" s="1" t="s">
        <v>437</v>
      </c>
      <c r="J310">
        <v>5</v>
      </c>
      <c r="K310" t="s">
        <v>436</v>
      </c>
      <c r="L310">
        <v>78</v>
      </c>
      <c r="M310" t="s">
        <v>445</v>
      </c>
    </row>
    <row r="311" spans="1:13" x14ac:dyDescent="0.45">
      <c r="A311" t="s">
        <v>342</v>
      </c>
      <c r="B311" t="s">
        <v>15</v>
      </c>
      <c r="C311" t="s">
        <v>40</v>
      </c>
      <c r="D311" t="s">
        <v>16</v>
      </c>
      <c r="E311" t="s">
        <v>17</v>
      </c>
      <c r="F311">
        <v>66</v>
      </c>
      <c r="G311" t="s">
        <v>438</v>
      </c>
      <c r="H311" s="1">
        <v>4149</v>
      </c>
      <c r="I311" s="1" t="s">
        <v>437</v>
      </c>
      <c r="J311">
        <v>1</v>
      </c>
      <c r="K311" t="s">
        <v>464</v>
      </c>
      <c r="L311">
        <v>79</v>
      </c>
      <c r="M311" t="s">
        <v>445</v>
      </c>
    </row>
    <row r="312" spans="1:13" x14ac:dyDescent="0.45">
      <c r="A312" t="s">
        <v>343</v>
      </c>
      <c r="B312" t="s">
        <v>22</v>
      </c>
      <c r="C312" t="s">
        <v>23</v>
      </c>
      <c r="D312" t="s">
        <v>34</v>
      </c>
      <c r="E312" t="s">
        <v>13</v>
      </c>
      <c r="F312">
        <v>72</v>
      </c>
      <c r="G312" t="s">
        <v>438</v>
      </c>
      <c r="H312" s="1">
        <v>1146</v>
      </c>
      <c r="I312" s="1" t="s">
        <v>434</v>
      </c>
      <c r="J312">
        <v>3</v>
      </c>
      <c r="K312" t="s">
        <v>464</v>
      </c>
      <c r="L312">
        <v>69</v>
      </c>
      <c r="M312" t="s">
        <v>439</v>
      </c>
    </row>
    <row r="313" spans="1:13" s="2" customFormat="1" x14ac:dyDescent="0.45">
      <c r="A313" s="2" t="s">
        <v>344</v>
      </c>
      <c r="B313" s="2" t="s">
        <v>10</v>
      </c>
      <c r="C313" s="2" t="s">
        <v>11</v>
      </c>
      <c r="D313" s="2" t="s">
        <v>47</v>
      </c>
      <c r="E313" s="2" t="s">
        <v>17</v>
      </c>
      <c r="F313" s="2">
        <v>1</v>
      </c>
      <c r="G313" s="2" t="s">
        <v>450</v>
      </c>
      <c r="H313" s="3">
        <v>17219</v>
      </c>
      <c r="I313" s="3" t="s">
        <v>444</v>
      </c>
      <c r="J313" s="2">
        <v>8</v>
      </c>
      <c r="K313" s="2" t="s">
        <v>440</v>
      </c>
      <c r="L313" s="2">
        <v>87</v>
      </c>
      <c r="M313" s="2" t="s">
        <v>445</v>
      </c>
    </row>
    <row r="314" spans="1:13" x14ac:dyDescent="0.45">
      <c r="A314" t="s">
        <v>345</v>
      </c>
      <c r="B314" t="s">
        <v>15</v>
      </c>
      <c r="C314" t="s">
        <v>11</v>
      </c>
      <c r="D314" t="s">
        <v>47</v>
      </c>
      <c r="E314" t="s">
        <v>17</v>
      </c>
      <c r="F314">
        <v>9</v>
      </c>
      <c r="G314" t="s">
        <v>449</v>
      </c>
      <c r="H314" s="1">
        <v>13866</v>
      </c>
      <c r="I314" s="1" t="s">
        <v>451</v>
      </c>
      <c r="J314">
        <v>5</v>
      </c>
      <c r="K314" t="s">
        <v>436</v>
      </c>
      <c r="L314">
        <v>54</v>
      </c>
      <c r="M314" t="s">
        <v>439</v>
      </c>
    </row>
    <row r="315" spans="1:13" x14ac:dyDescent="0.45">
      <c r="A315" t="s">
        <v>346</v>
      </c>
      <c r="B315" t="s">
        <v>25</v>
      </c>
      <c r="C315" t="s">
        <v>11</v>
      </c>
      <c r="D315" t="s">
        <v>27</v>
      </c>
      <c r="E315" t="s">
        <v>17</v>
      </c>
      <c r="F315">
        <v>18</v>
      </c>
      <c r="G315" t="s">
        <v>447</v>
      </c>
      <c r="H315" s="1">
        <v>17547</v>
      </c>
      <c r="I315" s="1" t="s">
        <v>444</v>
      </c>
      <c r="J315">
        <v>15</v>
      </c>
      <c r="K315" t="s">
        <v>463</v>
      </c>
      <c r="L315">
        <v>96</v>
      </c>
      <c r="M315" t="s">
        <v>442</v>
      </c>
    </row>
    <row r="316" spans="1:13" x14ac:dyDescent="0.45">
      <c r="A316" t="s">
        <v>347</v>
      </c>
      <c r="B316" t="s">
        <v>10</v>
      </c>
      <c r="C316" t="s">
        <v>23</v>
      </c>
      <c r="D316" t="s">
        <v>29</v>
      </c>
      <c r="E316" t="s">
        <v>37</v>
      </c>
      <c r="F316">
        <v>49</v>
      </c>
      <c r="G316" t="s">
        <v>441</v>
      </c>
      <c r="H316" s="1">
        <v>1118</v>
      </c>
      <c r="I316" s="1" t="s">
        <v>434</v>
      </c>
      <c r="J316">
        <v>2</v>
      </c>
      <c r="K316" t="s">
        <v>464</v>
      </c>
      <c r="L316">
        <v>74</v>
      </c>
      <c r="M316" t="s">
        <v>445</v>
      </c>
    </row>
    <row r="317" spans="1:13" x14ac:dyDescent="0.45">
      <c r="A317" t="s">
        <v>348</v>
      </c>
      <c r="B317" t="s">
        <v>15</v>
      </c>
      <c r="C317" t="s">
        <v>40</v>
      </c>
      <c r="D317" t="s">
        <v>29</v>
      </c>
      <c r="E317" t="s">
        <v>17</v>
      </c>
      <c r="F317">
        <v>69</v>
      </c>
      <c r="G317" t="s">
        <v>438</v>
      </c>
      <c r="H317" s="1">
        <v>3719</v>
      </c>
      <c r="I317" s="1" t="s">
        <v>437</v>
      </c>
      <c r="J317">
        <v>5</v>
      </c>
      <c r="K317" t="s">
        <v>436</v>
      </c>
      <c r="L317">
        <v>58</v>
      </c>
      <c r="M317" t="s">
        <v>439</v>
      </c>
    </row>
    <row r="318" spans="1:13" x14ac:dyDescent="0.45">
      <c r="A318" t="s">
        <v>349</v>
      </c>
      <c r="B318" t="s">
        <v>10</v>
      </c>
      <c r="C318" t="s">
        <v>40</v>
      </c>
      <c r="D318" t="s">
        <v>12</v>
      </c>
      <c r="E318" t="s">
        <v>13</v>
      </c>
      <c r="F318">
        <v>39</v>
      </c>
      <c r="G318" t="s">
        <v>446</v>
      </c>
      <c r="H318" s="1">
        <v>4292</v>
      </c>
      <c r="I318" s="1" t="s">
        <v>437</v>
      </c>
      <c r="J318">
        <v>5</v>
      </c>
      <c r="K318" t="s">
        <v>436</v>
      </c>
      <c r="L318">
        <v>77</v>
      </c>
      <c r="M318" t="s">
        <v>445</v>
      </c>
    </row>
    <row r="319" spans="1:13" x14ac:dyDescent="0.45">
      <c r="A319" t="s">
        <v>350</v>
      </c>
      <c r="B319" t="s">
        <v>19</v>
      </c>
      <c r="C319" t="s">
        <v>23</v>
      </c>
      <c r="D319" t="s">
        <v>60</v>
      </c>
      <c r="E319" t="s">
        <v>17</v>
      </c>
      <c r="F319">
        <v>45</v>
      </c>
      <c r="G319" t="s">
        <v>441</v>
      </c>
      <c r="H319" s="1">
        <v>517</v>
      </c>
      <c r="I319" s="1" t="s">
        <v>434</v>
      </c>
      <c r="J319">
        <v>2</v>
      </c>
      <c r="K319" t="s">
        <v>464</v>
      </c>
      <c r="L319">
        <v>62</v>
      </c>
      <c r="M319" t="s">
        <v>439</v>
      </c>
    </row>
    <row r="320" spans="1:13" x14ac:dyDescent="0.45">
      <c r="A320" t="s">
        <v>351</v>
      </c>
      <c r="B320" t="s">
        <v>10</v>
      </c>
      <c r="C320" t="s">
        <v>11</v>
      </c>
      <c r="D320" t="s">
        <v>12</v>
      </c>
      <c r="E320" t="s">
        <v>13</v>
      </c>
      <c r="F320">
        <v>54</v>
      </c>
      <c r="G320" t="s">
        <v>441</v>
      </c>
      <c r="H320" s="1">
        <v>15074</v>
      </c>
      <c r="I320" s="1" t="s">
        <v>444</v>
      </c>
      <c r="J320">
        <v>5</v>
      </c>
      <c r="K320" t="s">
        <v>436</v>
      </c>
      <c r="L320">
        <v>65</v>
      </c>
      <c r="M320" t="s">
        <v>439</v>
      </c>
    </row>
    <row r="321" spans="1:13" x14ac:dyDescent="0.45">
      <c r="A321" t="s">
        <v>352</v>
      </c>
      <c r="B321" t="s">
        <v>22</v>
      </c>
      <c r="C321" t="s">
        <v>11</v>
      </c>
      <c r="D321" t="s">
        <v>31</v>
      </c>
      <c r="E321" t="s">
        <v>13</v>
      </c>
      <c r="F321">
        <v>58</v>
      </c>
      <c r="G321" t="s">
        <v>441</v>
      </c>
      <c r="H321" s="1">
        <v>14794</v>
      </c>
      <c r="I321" s="1" t="s">
        <v>451</v>
      </c>
      <c r="J321">
        <v>15</v>
      </c>
      <c r="K321" t="s">
        <v>463</v>
      </c>
      <c r="L321">
        <v>95</v>
      </c>
      <c r="M321" t="s">
        <v>442</v>
      </c>
    </row>
    <row r="322" spans="1:13" x14ac:dyDescent="0.45">
      <c r="A322" t="s">
        <v>353</v>
      </c>
      <c r="B322" t="s">
        <v>49</v>
      </c>
      <c r="C322" t="s">
        <v>11</v>
      </c>
      <c r="D322" t="s">
        <v>60</v>
      </c>
      <c r="E322" t="s">
        <v>13</v>
      </c>
      <c r="F322">
        <v>52</v>
      </c>
      <c r="G322" t="s">
        <v>441</v>
      </c>
      <c r="H322" s="1">
        <v>12191</v>
      </c>
      <c r="I322" s="1" t="s">
        <v>451</v>
      </c>
      <c r="J322">
        <v>8</v>
      </c>
      <c r="K322" t="s">
        <v>440</v>
      </c>
      <c r="L322">
        <v>84</v>
      </c>
      <c r="M322" t="s">
        <v>445</v>
      </c>
    </row>
    <row r="323" spans="1:13" x14ac:dyDescent="0.45">
      <c r="A323" t="s">
        <v>354</v>
      </c>
      <c r="B323" t="s">
        <v>22</v>
      </c>
      <c r="C323" t="s">
        <v>11</v>
      </c>
      <c r="D323" t="s">
        <v>42</v>
      </c>
      <c r="E323" t="s">
        <v>13</v>
      </c>
      <c r="F323">
        <v>38</v>
      </c>
      <c r="G323" t="s">
        <v>446</v>
      </c>
      <c r="H323" s="1">
        <v>8836</v>
      </c>
      <c r="I323" s="1" t="s">
        <v>448</v>
      </c>
      <c r="J323">
        <v>14</v>
      </c>
      <c r="K323" t="s">
        <v>463</v>
      </c>
      <c r="L323">
        <v>70</v>
      </c>
      <c r="M323" t="s">
        <v>442</v>
      </c>
    </row>
    <row r="324" spans="1:13" x14ac:dyDescent="0.45">
      <c r="A324" t="s">
        <v>355</v>
      </c>
      <c r="B324" t="s">
        <v>19</v>
      </c>
      <c r="C324" t="s">
        <v>26</v>
      </c>
      <c r="D324" t="s">
        <v>60</v>
      </c>
      <c r="E324" t="s">
        <v>17</v>
      </c>
      <c r="F324">
        <v>19</v>
      </c>
      <c r="G324" t="s">
        <v>447</v>
      </c>
      <c r="H324" s="1">
        <v>6408</v>
      </c>
      <c r="I324" s="1" t="s">
        <v>437</v>
      </c>
      <c r="J324">
        <v>10</v>
      </c>
      <c r="K324" t="s">
        <v>443</v>
      </c>
      <c r="L324">
        <v>64</v>
      </c>
      <c r="M324" t="s">
        <v>439</v>
      </c>
    </row>
    <row r="325" spans="1:13" x14ac:dyDescent="0.45">
      <c r="A325" t="s">
        <v>356</v>
      </c>
      <c r="B325" t="s">
        <v>25</v>
      </c>
      <c r="C325" t="s">
        <v>26</v>
      </c>
      <c r="D325" t="s">
        <v>27</v>
      </c>
      <c r="E325" t="s">
        <v>17</v>
      </c>
      <c r="F325">
        <v>76</v>
      </c>
      <c r="G325" t="s">
        <v>438</v>
      </c>
      <c r="H325" s="1">
        <v>2434</v>
      </c>
      <c r="I325" s="1" t="s">
        <v>434</v>
      </c>
      <c r="J325">
        <v>8</v>
      </c>
      <c r="K325" t="s">
        <v>440</v>
      </c>
      <c r="L325">
        <v>85</v>
      </c>
      <c r="M325" t="s">
        <v>445</v>
      </c>
    </row>
    <row r="326" spans="1:13" x14ac:dyDescent="0.45">
      <c r="A326" t="s">
        <v>357</v>
      </c>
      <c r="B326" t="s">
        <v>25</v>
      </c>
      <c r="C326" t="s">
        <v>11</v>
      </c>
      <c r="D326" t="s">
        <v>29</v>
      </c>
      <c r="E326" t="s">
        <v>13</v>
      </c>
      <c r="F326">
        <v>86</v>
      </c>
      <c r="G326" t="s">
        <v>438</v>
      </c>
      <c r="H326" s="1">
        <v>11244</v>
      </c>
      <c r="I326" s="1" t="s">
        <v>451</v>
      </c>
      <c r="J326">
        <v>13</v>
      </c>
      <c r="K326" t="s">
        <v>463</v>
      </c>
      <c r="L326">
        <v>70</v>
      </c>
      <c r="M326" t="s">
        <v>442</v>
      </c>
    </row>
    <row r="327" spans="1:13" x14ac:dyDescent="0.45">
      <c r="A327" t="s">
        <v>358</v>
      </c>
      <c r="B327" t="s">
        <v>10</v>
      </c>
      <c r="C327" t="s">
        <v>23</v>
      </c>
      <c r="D327" t="s">
        <v>47</v>
      </c>
      <c r="E327" t="s">
        <v>17</v>
      </c>
      <c r="F327">
        <v>49</v>
      </c>
      <c r="G327" t="s">
        <v>441</v>
      </c>
      <c r="H327" s="1">
        <v>576</v>
      </c>
      <c r="I327" s="1" t="s">
        <v>434</v>
      </c>
      <c r="J327">
        <v>3</v>
      </c>
      <c r="K327" t="s">
        <v>464</v>
      </c>
      <c r="L327">
        <v>80</v>
      </c>
      <c r="M327" t="s">
        <v>445</v>
      </c>
    </row>
    <row r="328" spans="1:13" x14ac:dyDescent="0.45">
      <c r="A328" t="s">
        <v>359</v>
      </c>
      <c r="B328" t="s">
        <v>22</v>
      </c>
      <c r="C328" t="s">
        <v>40</v>
      </c>
      <c r="D328" t="s">
        <v>27</v>
      </c>
      <c r="E328" t="s">
        <v>13</v>
      </c>
      <c r="F328">
        <v>19</v>
      </c>
      <c r="G328" t="s">
        <v>447</v>
      </c>
      <c r="H328" s="1">
        <v>4293</v>
      </c>
      <c r="I328" s="1" t="s">
        <v>437</v>
      </c>
      <c r="J328">
        <v>1</v>
      </c>
      <c r="K328" t="s">
        <v>464</v>
      </c>
      <c r="L328">
        <v>85</v>
      </c>
      <c r="M328" t="s">
        <v>433</v>
      </c>
    </row>
    <row r="329" spans="1:13" x14ac:dyDescent="0.45">
      <c r="A329" t="s">
        <v>360</v>
      </c>
      <c r="B329" t="s">
        <v>25</v>
      </c>
      <c r="C329" t="s">
        <v>23</v>
      </c>
      <c r="D329" t="s">
        <v>20</v>
      </c>
      <c r="E329" t="s">
        <v>13</v>
      </c>
      <c r="F329">
        <v>50</v>
      </c>
      <c r="G329" t="s">
        <v>441</v>
      </c>
      <c r="H329" s="1">
        <v>697</v>
      </c>
      <c r="I329" s="1" t="s">
        <v>434</v>
      </c>
      <c r="J329">
        <v>2</v>
      </c>
      <c r="K329" t="s">
        <v>464</v>
      </c>
      <c r="L329">
        <v>63</v>
      </c>
      <c r="M329" t="s">
        <v>439</v>
      </c>
    </row>
    <row r="330" spans="1:13" x14ac:dyDescent="0.45">
      <c r="A330" t="s">
        <v>361</v>
      </c>
      <c r="B330" t="s">
        <v>44</v>
      </c>
      <c r="C330" t="s">
        <v>11</v>
      </c>
      <c r="D330" t="s">
        <v>34</v>
      </c>
      <c r="E330" t="s">
        <v>13</v>
      </c>
      <c r="F330">
        <v>12</v>
      </c>
      <c r="G330" t="s">
        <v>449</v>
      </c>
      <c r="H330" s="1">
        <v>13775</v>
      </c>
      <c r="I330" s="1" t="s">
        <v>451</v>
      </c>
      <c r="J330">
        <v>8</v>
      </c>
      <c r="K330" t="s">
        <v>440</v>
      </c>
      <c r="L330">
        <v>53</v>
      </c>
      <c r="M330" t="s">
        <v>439</v>
      </c>
    </row>
    <row r="331" spans="1:13" x14ac:dyDescent="0.45">
      <c r="A331" t="s">
        <v>362</v>
      </c>
      <c r="B331" t="s">
        <v>44</v>
      </c>
      <c r="C331" t="s">
        <v>23</v>
      </c>
      <c r="D331" t="s">
        <v>16</v>
      </c>
      <c r="E331" t="s">
        <v>13</v>
      </c>
      <c r="F331">
        <v>10</v>
      </c>
      <c r="G331" t="s">
        <v>449</v>
      </c>
      <c r="H331" s="1">
        <v>585</v>
      </c>
      <c r="I331" s="1" t="s">
        <v>434</v>
      </c>
      <c r="J331">
        <v>3</v>
      </c>
      <c r="K331" t="s">
        <v>464</v>
      </c>
      <c r="L331">
        <v>96</v>
      </c>
      <c r="M331" t="s">
        <v>433</v>
      </c>
    </row>
    <row r="332" spans="1:13" x14ac:dyDescent="0.45">
      <c r="A332" t="s">
        <v>363</v>
      </c>
      <c r="B332" t="s">
        <v>10</v>
      </c>
      <c r="C332" t="s">
        <v>40</v>
      </c>
      <c r="D332" t="s">
        <v>34</v>
      </c>
      <c r="E332" t="s">
        <v>17</v>
      </c>
      <c r="F332">
        <v>43</v>
      </c>
      <c r="G332" t="s">
        <v>446</v>
      </c>
      <c r="H332" s="1">
        <v>2983</v>
      </c>
      <c r="I332" s="1" t="s">
        <v>434</v>
      </c>
      <c r="J332">
        <v>1</v>
      </c>
      <c r="K332" t="s">
        <v>464</v>
      </c>
      <c r="L332">
        <v>63</v>
      </c>
      <c r="M332" t="s">
        <v>439</v>
      </c>
    </row>
    <row r="333" spans="1:13" x14ac:dyDescent="0.45">
      <c r="A333" t="s">
        <v>364</v>
      </c>
      <c r="B333" t="s">
        <v>22</v>
      </c>
      <c r="C333" t="s">
        <v>11</v>
      </c>
      <c r="D333" t="s">
        <v>34</v>
      </c>
      <c r="E333" t="s">
        <v>13</v>
      </c>
      <c r="F333">
        <v>90</v>
      </c>
      <c r="G333" t="s">
        <v>438</v>
      </c>
      <c r="H333" s="1">
        <v>14902</v>
      </c>
      <c r="I333" s="1" t="s">
        <v>451</v>
      </c>
      <c r="J333">
        <v>8</v>
      </c>
      <c r="K333" t="s">
        <v>440</v>
      </c>
      <c r="L333">
        <v>75</v>
      </c>
      <c r="M333" t="s">
        <v>445</v>
      </c>
    </row>
    <row r="334" spans="1:13" x14ac:dyDescent="0.45">
      <c r="A334" t="s">
        <v>365</v>
      </c>
      <c r="B334" t="s">
        <v>22</v>
      </c>
      <c r="C334" t="s">
        <v>26</v>
      </c>
      <c r="D334" t="s">
        <v>27</v>
      </c>
      <c r="E334" t="s">
        <v>17</v>
      </c>
      <c r="F334">
        <v>69</v>
      </c>
      <c r="G334" t="s">
        <v>438</v>
      </c>
      <c r="H334" s="1">
        <v>6314</v>
      </c>
      <c r="I334" s="1" t="s">
        <v>437</v>
      </c>
      <c r="J334">
        <v>7</v>
      </c>
      <c r="K334" t="s">
        <v>440</v>
      </c>
      <c r="L334">
        <v>69</v>
      </c>
      <c r="M334" t="s">
        <v>439</v>
      </c>
    </row>
    <row r="335" spans="1:13" x14ac:dyDescent="0.45">
      <c r="A335" t="s">
        <v>366</v>
      </c>
      <c r="B335" t="s">
        <v>44</v>
      </c>
      <c r="C335" t="s">
        <v>26</v>
      </c>
      <c r="D335" t="s">
        <v>20</v>
      </c>
      <c r="E335" t="s">
        <v>13</v>
      </c>
      <c r="F335">
        <v>60</v>
      </c>
      <c r="G335" t="s">
        <v>441</v>
      </c>
      <c r="H335" s="1">
        <v>1807</v>
      </c>
      <c r="I335" s="1" t="s">
        <v>434</v>
      </c>
      <c r="J335">
        <v>9</v>
      </c>
      <c r="K335" t="s">
        <v>440</v>
      </c>
      <c r="L335">
        <v>98</v>
      </c>
      <c r="M335" t="s">
        <v>445</v>
      </c>
    </row>
    <row r="336" spans="1:13" x14ac:dyDescent="0.45">
      <c r="A336" t="s">
        <v>367</v>
      </c>
      <c r="B336" t="s">
        <v>49</v>
      </c>
      <c r="C336" t="s">
        <v>26</v>
      </c>
      <c r="D336" t="s">
        <v>60</v>
      </c>
      <c r="E336" t="s">
        <v>17</v>
      </c>
      <c r="F336">
        <v>53</v>
      </c>
      <c r="G336" t="s">
        <v>441</v>
      </c>
      <c r="H336" s="1">
        <v>1374</v>
      </c>
      <c r="I336" s="1" t="s">
        <v>434</v>
      </c>
      <c r="J336">
        <v>5</v>
      </c>
      <c r="K336" t="s">
        <v>436</v>
      </c>
      <c r="L336">
        <v>97</v>
      </c>
      <c r="M336" t="s">
        <v>433</v>
      </c>
    </row>
    <row r="337" spans="1:13" x14ac:dyDescent="0.45">
      <c r="A337" t="s">
        <v>368</v>
      </c>
      <c r="B337" t="s">
        <v>22</v>
      </c>
      <c r="C337" t="s">
        <v>11</v>
      </c>
      <c r="D337" t="s">
        <v>27</v>
      </c>
      <c r="E337" t="s">
        <v>13</v>
      </c>
      <c r="F337">
        <v>75</v>
      </c>
      <c r="G337" t="s">
        <v>438</v>
      </c>
      <c r="H337" s="1">
        <v>14488</v>
      </c>
      <c r="I337" s="1" t="s">
        <v>451</v>
      </c>
      <c r="J337">
        <v>11</v>
      </c>
      <c r="K337" t="s">
        <v>443</v>
      </c>
      <c r="L337">
        <v>68</v>
      </c>
      <c r="M337" t="s">
        <v>439</v>
      </c>
    </row>
    <row r="338" spans="1:13" x14ac:dyDescent="0.45">
      <c r="A338" t="s">
        <v>369</v>
      </c>
      <c r="B338" t="s">
        <v>22</v>
      </c>
      <c r="C338" t="s">
        <v>40</v>
      </c>
      <c r="D338" t="s">
        <v>29</v>
      </c>
      <c r="E338" t="s">
        <v>17</v>
      </c>
      <c r="F338">
        <v>73</v>
      </c>
      <c r="G338" t="s">
        <v>438</v>
      </c>
      <c r="H338" s="1">
        <v>2513</v>
      </c>
      <c r="I338" s="1" t="s">
        <v>434</v>
      </c>
      <c r="J338">
        <v>4</v>
      </c>
      <c r="K338" t="s">
        <v>436</v>
      </c>
      <c r="L338">
        <v>85</v>
      </c>
      <c r="M338" t="s">
        <v>433</v>
      </c>
    </row>
    <row r="339" spans="1:13" x14ac:dyDescent="0.45">
      <c r="A339" t="s">
        <v>370</v>
      </c>
      <c r="B339" t="s">
        <v>10</v>
      </c>
      <c r="C339" t="s">
        <v>26</v>
      </c>
      <c r="D339" t="s">
        <v>27</v>
      </c>
      <c r="E339" t="s">
        <v>13</v>
      </c>
      <c r="F339">
        <v>63</v>
      </c>
      <c r="G339" t="s">
        <v>438</v>
      </c>
      <c r="H339" s="1">
        <v>6927</v>
      </c>
      <c r="I339" s="1" t="s">
        <v>437</v>
      </c>
      <c r="J339">
        <v>9</v>
      </c>
      <c r="K339" t="s">
        <v>440</v>
      </c>
      <c r="L339">
        <v>79</v>
      </c>
      <c r="M339" t="s">
        <v>445</v>
      </c>
    </row>
    <row r="340" spans="1:13" x14ac:dyDescent="0.45">
      <c r="A340" t="s">
        <v>371</v>
      </c>
      <c r="B340" t="s">
        <v>22</v>
      </c>
      <c r="C340" t="s">
        <v>26</v>
      </c>
      <c r="D340" t="s">
        <v>42</v>
      </c>
      <c r="E340" t="s">
        <v>17</v>
      </c>
      <c r="F340">
        <v>70</v>
      </c>
      <c r="G340" t="s">
        <v>438</v>
      </c>
      <c r="H340" s="1">
        <v>5000</v>
      </c>
      <c r="I340" s="1" t="s">
        <v>437</v>
      </c>
      <c r="J340">
        <v>4</v>
      </c>
      <c r="K340" t="s">
        <v>436</v>
      </c>
      <c r="L340">
        <v>84</v>
      </c>
      <c r="M340" t="s">
        <v>445</v>
      </c>
    </row>
    <row r="341" spans="1:13" x14ac:dyDescent="0.45">
      <c r="A341" t="s">
        <v>372</v>
      </c>
      <c r="B341" t="s">
        <v>10</v>
      </c>
      <c r="C341" t="s">
        <v>11</v>
      </c>
      <c r="D341" t="s">
        <v>20</v>
      </c>
      <c r="E341" t="s">
        <v>17</v>
      </c>
      <c r="F341">
        <v>10</v>
      </c>
      <c r="G341" t="s">
        <v>449</v>
      </c>
      <c r="H341" s="1">
        <v>18402</v>
      </c>
      <c r="I341" s="1" t="s">
        <v>444</v>
      </c>
      <c r="J341">
        <v>15</v>
      </c>
      <c r="K341" t="s">
        <v>463</v>
      </c>
      <c r="L341">
        <v>53</v>
      </c>
      <c r="M341" t="s">
        <v>442</v>
      </c>
    </row>
    <row r="342" spans="1:13" x14ac:dyDescent="0.45">
      <c r="A342" t="s">
        <v>373</v>
      </c>
      <c r="B342" t="s">
        <v>49</v>
      </c>
      <c r="C342" t="s">
        <v>11</v>
      </c>
      <c r="D342" t="s">
        <v>47</v>
      </c>
      <c r="E342" t="s">
        <v>17</v>
      </c>
      <c r="F342">
        <v>81</v>
      </c>
      <c r="G342" t="s">
        <v>438</v>
      </c>
      <c r="H342" s="1">
        <v>8791</v>
      </c>
      <c r="I342" s="1" t="s">
        <v>448</v>
      </c>
      <c r="J342">
        <v>6</v>
      </c>
      <c r="K342" t="s">
        <v>436</v>
      </c>
      <c r="L342">
        <v>95</v>
      </c>
      <c r="M342" t="s">
        <v>445</v>
      </c>
    </row>
    <row r="343" spans="1:13" x14ac:dyDescent="0.45">
      <c r="A343" t="s">
        <v>374</v>
      </c>
      <c r="B343" t="s">
        <v>22</v>
      </c>
      <c r="C343" t="s">
        <v>11</v>
      </c>
      <c r="D343" t="s">
        <v>60</v>
      </c>
      <c r="E343" t="s">
        <v>13</v>
      </c>
      <c r="F343">
        <v>48</v>
      </c>
      <c r="G343" t="s">
        <v>441</v>
      </c>
      <c r="H343" s="1">
        <v>5990</v>
      </c>
      <c r="I343" s="1" t="s">
        <v>437</v>
      </c>
      <c r="J343">
        <v>14</v>
      </c>
      <c r="K343" t="s">
        <v>463</v>
      </c>
      <c r="L343">
        <v>90</v>
      </c>
      <c r="M343" t="s">
        <v>442</v>
      </c>
    </row>
    <row r="344" spans="1:13" x14ac:dyDescent="0.45">
      <c r="A344" t="s">
        <v>375</v>
      </c>
      <c r="B344" t="s">
        <v>10</v>
      </c>
      <c r="C344" t="s">
        <v>23</v>
      </c>
      <c r="D344" t="s">
        <v>34</v>
      </c>
      <c r="E344" t="s">
        <v>17</v>
      </c>
      <c r="F344">
        <v>69</v>
      </c>
      <c r="G344" t="s">
        <v>438</v>
      </c>
      <c r="H344" s="1">
        <v>1329</v>
      </c>
      <c r="I344" s="1" t="s">
        <v>434</v>
      </c>
      <c r="J344">
        <v>2</v>
      </c>
      <c r="K344" t="s">
        <v>464</v>
      </c>
      <c r="L344">
        <v>50</v>
      </c>
      <c r="M344" t="s">
        <v>439</v>
      </c>
    </row>
    <row r="345" spans="1:13" x14ac:dyDescent="0.45">
      <c r="A345" t="s">
        <v>376</v>
      </c>
      <c r="B345" t="s">
        <v>15</v>
      </c>
      <c r="C345" t="s">
        <v>26</v>
      </c>
      <c r="D345" t="s">
        <v>20</v>
      </c>
      <c r="E345" t="s">
        <v>13</v>
      </c>
      <c r="F345">
        <v>3</v>
      </c>
      <c r="G345" t="s">
        <v>450</v>
      </c>
      <c r="H345" s="1">
        <v>5114</v>
      </c>
      <c r="I345" s="1" t="s">
        <v>437</v>
      </c>
      <c r="J345">
        <v>8</v>
      </c>
      <c r="K345" t="s">
        <v>440</v>
      </c>
      <c r="L345">
        <v>61</v>
      </c>
      <c r="M345" t="s">
        <v>439</v>
      </c>
    </row>
    <row r="346" spans="1:13" x14ac:dyDescent="0.45">
      <c r="A346" t="s">
        <v>377</v>
      </c>
      <c r="B346" t="s">
        <v>15</v>
      </c>
      <c r="C346" t="s">
        <v>11</v>
      </c>
      <c r="D346" t="s">
        <v>20</v>
      </c>
      <c r="E346" t="s">
        <v>17</v>
      </c>
      <c r="F346">
        <v>25</v>
      </c>
      <c r="G346" t="s">
        <v>435</v>
      </c>
      <c r="H346" s="1">
        <v>15154</v>
      </c>
      <c r="I346" s="1" t="s">
        <v>444</v>
      </c>
      <c r="J346">
        <v>13</v>
      </c>
      <c r="K346" t="s">
        <v>463</v>
      </c>
      <c r="L346">
        <v>66</v>
      </c>
      <c r="M346" t="s">
        <v>442</v>
      </c>
    </row>
    <row r="347" spans="1:13" x14ac:dyDescent="0.45">
      <c r="A347" t="s">
        <v>378</v>
      </c>
      <c r="B347" t="s">
        <v>49</v>
      </c>
      <c r="C347" t="s">
        <v>26</v>
      </c>
      <c r="D347" t="s">
        <v>27</v>
      </c>
      <c r="E347" t="s">
        <v>13</v>
      </c>
      <c r="F347">
        <v>11</v>
      </c>
      <c r="G347" t="s">
        <v>449</v>
      </c>
      <c r="H347" s="1">
        <v>4056</v>
      </c>
      <c r="I347" s="1" t="s">
        <v>437</v>
      </c>
      <c r="J347">
        <v>8</v>
      </c>
      <c r="K347" t="s">
        <v>440</v>
      </c>
      <c r="L347">
        <v>79</v>
      </c>
      <c r="M347" t="s">
        <v>445</v>
      </c>
    </row>
    <row r="348" spans="1:13" x14ac:dyDescent="0.45">
      <c r="A348" t="s">
        <v>379</v>
      </c>
      <c r="B348" t="s">
        <v>19</v>
      </c>
      <c r="C348" t="s">
        <v>40</v>
      </c>
      <c r="D348" t="s">
        <v>60</v>
      </c>
      <c r="E348" t="s">
        <v>17</v>
      </c>
      <c r="F348">
        <v>11</v>
      </c>
      <c r="G348" t="s">
        <v>449</v>
      </c>
      <c r="H348" s="1">
        <v>759</v>
      </c>
      <c r="I348" s="1" t="s">
        <v>434</v>
      </c>
      <c r="J348">
        <v>1</v>
      </c>
      <c r="K348" t="s">
        <v>464</v>
      </c>
      <c r="L348">
        <v>75</v>
      </c>
      <c r="M348" t="s">
        <v>445</v>
      </c>
    </row>
    <row r="349" spans="1:13" x14ac:dyDescent="0.45">
      <c r="A349" t="s">
        <v>380</v>
      </c>
      <c r="B349" t="s">
        <v>25</v>
      </c>
      <c r="C349" t="s">
        <v>23</v>
      </c>
      <c r="D349" t="s">
        <v>20</v>
      </c>
      <c r="E349" t="s">
        <v>17</v>
      </c>
      <c r="F349">
        <v>82</v>
      </c>
      <c r="G349" t="s">
        <v>438</v>
      </c>
      <c r="H349" s="1">
        <v>219</v>
      </c>
      <c r="I349" s="1" t="s">
        <v>434</v>
      </c>
      <c r="J349">
        <v>3</v>
      </c>
      <c r="K349" t="s">
        <v>464</v>
      </c>
      <c r="L349">
        <v>60</v>
      </c>
      <c r="M349" t="s">
        <v>439</v>
      </c>
    </row>
    <row r="350" spans="1:13" x14ac:dyDescent="0.45">
      <c r="A350" t="s">
        <v>381</v>
      </c>
      <c r="B350" t="s">
        <v>15</v>
      </c>
      <c r="C350" t="s">
        <v>23</v>
      </c>
      <c r="D350" t="s">
        <v>47</v>
      </c>
      <c r="E350" t="s">
        <v>13</v>
      </c>
      <c r="F350">
        <v>43</v>
      </c>
      <c r="G350" t="s">
        <v>446</v>
      </c>
      <c r="H350" s="1">
        <v>1358</v>
      </c>
      <c r="I350" s="1" t="s">
        <v>434</v>
      </c>
      <c r="J350">
        <v>1</v>
      </c>
      <c r="K350" t="s">
        <v>464</v>
      </c>
      <c r="L350">
        <v>83</v>
      </c>
      <c r="M350" t="s">
        <v>445</v>
      </c>
    </row>
    <row r="351" spans="1:13" x14ac:dyDescent="0.45">
      <c r="A351" t="s">
        <v>382</v>
      </c>
      <c r="B351" t="s">
        <v>15</v>
      </c>
      <c r="C351" t="s">
        <v>40</v>
      </c>
      <c r="D351" t="s">
        <v>60</v>
      </c>
      <c r="E351" t="s">
        <v>13</v>
      </c>
      <c r="F351">
        <v>89</v>
      </c>
      <c r="G351" t="s">
        <v>438</v>
      </c>
      <c r="H351" s="1">
        <v>4395</v>
      </c>
      <c r="I351" s="1" t="s">
        <v>437</v>
      </c>
      <c r="J351">
        <v>3</v>
      </c>
      <c r="K351" t="s">
        <v>464</v>
      </c>
      <c r="L351">
        <v>52</v>
      </c>
      <c r="M351" t="s">
        <v>439</v>
      </c>
    </row>
    <row r="352" spans="1:13" x14ac:dyDescent="0.45">
      <c r="A352" t="s">
        <v>383</v>
      </c>
      <c r="B352" t="s">
        <v>15</v>
      </c>
      <c r="C352" t="s">
        <v>26</v>
      </c>
      <c r="D352" t="s">
        <v>20</v>
      </c>
      <c r="E352" t="s">
        <v>13</v>
      </c>
      <c r="F352">
        <v>5</v>
      </c>
      <c r="G352" t="s">
        <v>450</v>
      </c>
      <c r="H352" s="1">
        <v>2469</v>
      </c>
      <c r="I352" s="1" t="s">
        <v>434</v>
      </c>
      <c r="J352">
        <v>7</v>
      </c>
      <c r="K352" t="s">
        <v>440</v>
      </c>
      <c r="L352">
        <v>51</v>
      </c>
      <c r="M352" t="s">
        <v>439</v>
      </c>
    </row>
    <row r="353" spans="1:13" x14ac:dyDescent="0.45">
      <c r="A353" t="s">
        <v>384</v>
      </c>
      <c r="B353" t="s">
        <v>22</v>
      </c>
      <c r="C353" t="s">
        <v>40</v>
      </c>
      <c r="D353" t="s">
        <v>47</v>
      </c>
      <c r="E353" t="s">
        <v>13</v>
      </c>
      <c r="F353">
        <v>39</v>
      </c>
      <c r="G353" t="s">
        <v>446</v>
      </c>
      <c r="H353" s="1">
        <v>1830</v>
      </c>
      <c r="I353" s="1" t="s">
        <v>434</v>
      </c>
      <c r="J353">
        <v>5</v>
      </c>
      <c r="K353" t="s">
        <v>436</v>
      </c>
      <c r="L353">
        <v>65</v>
      </c>
      <c r="M353" t="s">
        <v>439</v>
      </c>
    </row>
    <row r="354" spans="1:13" x14ac:dyDescent="0.45">
      <c r="A354" t="s">
        <v>385</v>
      </c>
      <c r="B354" t="s">
        <v>19</v>
      </c>
      <c r="C354" t="s">
        <v>23</v>
      </c>
      <c r="D354" t="s">
        <v>20</v>
      </c>
      <c r="E354" t="s">
        <v>17</v>
      </c>
      <c r="F354">
        <v>18</v>
      </c>
      <c r="G354" t="s">
        <v>447</v>
      </c>
      <c r="H354" s="1">
        <v>1818</v>
      </c>
      <c r="I354" s="1" t="s">
        <v>434</v>
      </c>
      <c r="J354">
        <v>3</v>
      </c>
      <c r="K354" t="s">
        <v>464</v>
      </c>
      <c r="L354">
        <v>96</v>
      </c>
      <c r="M354" t="s">
        <v>433</v>
      </c>
    </row>
    <row r="355" spans="1:13" x14ac:dyDescent="0.45">
      <c r="A355" t="s">
        <v>386</v>
      </c>
      <c r="B355" t="s">
        <v>15</v>
      </c>
      <c r="C355" t="s">
        <v>26</v>
      </c>
      <c r="D355" t="s">
        <v>12</v>
      </c>
      <c r="E355" t="s">
        <v>17</v>
      </c>
      <c r="F355">
        <v>30</v>
      </c>
      <c r="G355" t="s">
        <v>446</v>
      </c>
      <c r="H355" s="1">
        <v>1622</v>
      </c>
      <c r="I355" s="1" t="s">
        <v>434</v>
      </c>
      <c r="J355">
        <v>7</v>
      </c>
      <c r="K355" t="s">
        <v>440</v>
      </c>
      <c r="L355">
        <v>88</v>
      </c>
      <c r="M355" t="s">
        <v>445</v>
      </c>
    </row>
    <row r="356" spans="1:13" x14ac:dyDescent="0.45">
      <c r="A356" t="s">
        <v>387</v>
      </c>
      <c r="B356" t="s">
        <v>49</v>
      </c>
      <c r="C356" t="s">
        <v>23</v>
      </c>
      <c r="D356" t="s">
        <v>29</v>
      </c>
      <c r="E356" t="s">
        <v>17</v>
      </c>
      <c r="F356">
        <v>35</v>
      </c>
      <c r="G356" t="s">
        <v>446</v>
      </c>
      <c r="H356" s="1">
        <v>1804</v>
      </c>
      <c r="I356" s="1" t="s">
        <v>434</v>
      </c>
      <c r="J356">
        <v>2</v>
      </c>
      <c r="K356" t="s">
        <v>464</v>
      </c>
      <c r="L356">
        <v>81</v>
      </c>
      <c r="M356" t="s">
        <v>445</v>
      </c>
    </row>
    <row r="357" spans="1:13" x14ac:dyDescent="0.45">
      <c r="A357" t="s">
        <v>388</v>
      </c>
      <c r="B357" t="s">
        <v>22</v>
      </c>
      <c r="C357" t="s">
        <v>26</v>
      </c>
      <c r="D357" t="s">
        <v>20</v>
      </c>
      <c r="E357" t="s">
        <v>13</v>
      </c>
      <c r="F357">
        <v>56</v>
      </c>
      <c r="G357" t="s">
        <v>441</v>
      </c>
      <c r="H357" s="1">
        <v>2521</v>
      </c>
      <c r="I357" s="1" t="s">
        <v>434</v>
      </c>
      <c r="J357">
        <v>8</v>
      </c>
      <c r="K357" t="s">
        <v>440</v>
      </c>
      <c r="L357">
        <v>55</v>
      </c>
      <c r="M357" t="s">
        <v>439</v>
      </c>
    </row>
    <row r="358" spans="1:13" x14ac:dyDescent="0.45">
      <c r="A358" t="s">
        <v>389</v>
      </c>
      <c r="B358" t="s">
        <v>49</v>
      </c>
      <c r="C358" t="s">
        <v>26</v>
      </c>
      <c r="D358" t="s">
        <v>60</v>
      </c>
      <c r="E358" t="s">
        <v>13</v>
      </c>
      <c r="F358">
        <v>11</v>
      </c>
      <c r="G358" t="s">
        <v>449</v>
      </c>
      <c r="H358" s="1">
        <v>3195</v>
      </c>
      <c r="I358" s="1" t="s">
        <v>437</v>
      </c>
      <c r="J358">
        <v>4</v>
      </c>
      <c r="K358" t="s">
        <v>436</v>
      </c>
      <c r="L358">
        <v>74</v>
      </c>
      <c r="M358" t="s">
        <v>445</v>
      </c>
    </row>
    <row r="359" spans="1:13" x14ac:dyDescent="0.45">
      <c r="A359" t="s">
        <v>390</v>
      </c>
      <c r="B359" t="s">
        <v>10</v>
      </c>
      <c r="C359" t="s">
        <v>40</v>
      </c>
      <c r="D359" t="s">
        <v>47</v>
      </c>
      <c r="E359" t="s">
        <v>17</v>
      </c>
      <c r="F359">
        <v>14</v>
      </c>
      <c r="G359" t="s">
        <v>447</v>
      </c>
      <c r="H359" s="1">
        <v>1249</v>
      </c>
      <c r="I359" s="1" t="s">
        <v>434</v>
      </c>
      <c r="J359">
        <v>1</v>
      </c>
      <c r="K359" t="s">
        <v>464</v>
      </c>
      <c r="L359">
        <v>69</v>
      </c>
      <c r="M359" t="s">
        <v>439</v>
      </c>
    </row>
    <row r="360" spans="1:13" x14ac:dyDescent="0.45">
      <c r="A360" t="s">
        <v>391</v>
      </c>
      <c r="B360" t="s">
        <v>25</v>
      </c>
      <c r="C360" t="s">
        <v>26</v>
      </c>
      <c r="D360" t="s">
        <v>27</v>
      </c>
      <c r="E360" t="s">
        <v>17</v>
      </c>
      <c r="F360">
        <v>12</v>
      </c>
      <c r="G360" t="s">
        <v>449</v>
      </c>
      <c r="H360" s="1">
        <v>2535</v>
      </c>
      <c r="I360" s="1" t="s">
        <v>434</v>
      </c>
      <c r="J360">
        <v>8</v>
      </c>
      <c r="K360" t="s">
        <v>440</v>
      </c>
      <c r="L360">
        <v>78</v>
      </c>
      <c r="M360" t="s">
        <v>445</v>
      </c>
    </row>
    <row r="361" spans="1:13" x14ac:dyDescent="0.45">
      <c r="A361" t="s">
        <v>392</v>
      </c>
      <c r="B361" t="s">
        <v>19</v>
      </c>
      <c r="C361" t="s">
        <v>23</v>
      </c>
      <c r="D361" t="s">
        <v>31</v>
      </c>
      <c r="E361" t="s">
        <v>17</v>
      </c>
      <c r="F361">
        <v>46</v>
      </c>
      <c r="G361" t="s">
        <v>441</v>
      </c>
      <c r="H361" s="1">
        <v>1335</v>
      </c>
      <c r="I361" s="1" t="s">
        <v>434</v>
      </c>
      <c r="J361">
        <v>1</v>
      </c>
      <c r="K361" t="s">
        <v>464</v>
      </c>
      <c r="L361">
        <v>88</v>
      </c>
      <c r="M361" t="s">
        <v>433</v>
      </c>
    </row>
    <row r="362" spans="1:13" x14ac:dyDescent="0.45">
      <c r="A362" t="s">
        <v>393</v>
      </c>
      <c r="B362" t="s">
        <v>19</v>
      </c>
      <c r="C362" t="s">
        <v>26</v>
      </c>
      <c r="D362" t="s">
        <v>47</v>
      </c>
      <c r="E362" t="s">
        <v>17</v>
      </c>
      <c r="F362">
        <v>53</v>
      </c>
      <c r="G362" t="s">
        <v>441</v>
      </c>
      <c r="H362" s="1">
        <v>4176</v>
      </c>
      <c r="I362" s="1" t="s">
        <v>437</v>
      </c>
      <c r="J362">
        <v>3</v>
      </c>
      <c r="K362" t="s">
        <v>464</v>
      </c>
      <c r="L362">
        <v>96</v>
      </c>
      <c r="M362" t="s">
        <v>433</v>
      </c>
    </row>
    <row r="363" spans="1:13" x14ac:dyDescent="0.45">
      <c r="A363" t="s">
        <v>394</v>
      </c>
      <c r="B363" t="s">
        <v>19</v>
      </c>
      <c r="C363" t="s">
        <v>40</v>
      </c>
      <c r="D363" t="s">
        <v>16</v>
      </c>
      <c r="E363" t="s">
        <v>13</v>
      </c>
      <c r="F363">
        <v>88</v>
      </c>
      <c r="G363" t="s">
        <v>438</v>
      </c>
      <c r="H363" s="1">
        <v>3618</v>
      </c>
      <c r="I363" s="1" t="s">
        <v>437</v>
      </c>
      <c r="J363">
        <v>2</v>
      </c>
      <c r="K363" t="s">
        <v>464</v>
      </c>
      <c r="L363">
        <v>58</v>
      </c>
      <c r="M363" t="s">
        <v>439</v>
      </c>
    </row>
    <row r="364" spans="1:13" x14ac:dyDescent="0.45">
      <c r="A364" t="s">
        <v>395</v>
      </c>
      <c r="B364" t="s">
        <v>44</v>
      </c>
      <c r="C364" t="s">
        <v>26</v>
      </c>
      <c r="D364" t="s">
        <v>27</v>
      </c>
      <c r="E364" t="s">
        <v>13</v>
      </c>
      <c r="F364">
        <v>9</v>
      </c>
      <c r="G364" t="s">
        <v>449</v>
      </c>
      <c r="H364" s="1">
        <v>2369</v>
      </c>
      <c r="I364" s="1" t="s">
        <v>434</v>
      </c>
      <c r="J364">
        <v>8</v>
      </c>
      <c r="K364" t="s">
        <v>440</v>
      </c>
      <c r="L364">
        <v>67</v>
      </c>
      <c r="M364" t="s">
        <v>439</v>
      </c>
    </row>
    <row r="365" spans="1:13" x14ac:dyDescent="0.45">
      <c r="A365" t="s">
        <v>396</v>
      </c>
      <c r="B365" t="s">
        <v>25</v>
      </c>
      <c r="C365" t="s">
        <v>26</v>
      </c>
      <c r="D365" t="s">
        <v>34</v>
      </c>
      <c r="E365" t="s">
        <v>13</v>
      </c>
      <c r="F365">
        <v>47</v>
      </c>
      <c r="G365" t="s">
        <v>441</v>
      </c>
      <c r="H365" s="1">
        <v>3061</v>
      </c>
      <c r="I365" s="1" t="s">
        <v>437</v>
      </c>
      <c r="J365">
        <v>5</v>
      </c>
      <c r="K365" t="s">
        <v>436</v>
      </c>
      <c r="L365">
        <v>96</v>
      </c>
      <c r="M365" t="s">
        <v>433</v>
      </c>
    </row>
    <row r="366" spans="1:13" x14ac:dyDescent="0.45">
      <c r="A366" t="s">
        <v>397</v>
      </c>
      <c r="B366" t="s">
        <v>10</v>
      </c>
      <c r="C366" t="s">
        <v>23</v>
      </c>
      <c r="D366" t="s">
        <v>16</v>
      </c>
      <c r="E366" t="s">
        <v>13</v>
      </c>
      <c r="F366">
        <v>59</v>
      </c>
      <c r="G366" t="s">
        <v>441</v>
      </c>
      <c r="H366" s="1">
        <v>419</v>
      </c>
      <c r="I366" s="1" t="s">
        <v>434</v>
      </c>
      <c r="J366">
        <v>1</v>
      </c>
      <c r="K366" t="s">
        <v>464</v>
      </c>
      <c r="L366">
        <v>69</v>
      </c>
      <c r="M366" t="s">
        <v>439</v>
      </c>
    </row>
    <row r="367" spans="1:13" x14ac:dyDescent="0.45">
      <c r="A367" t="s">
        <v>398</v>
      </c>
      <c r="B367" t="s">
        <v>15</v>
      </c>
      <c r="C367" t="s">
        <v>23</v>
      </c>
      <c r="D367" t="s">
        <v>29</v>
      </c>
      <c r="E367" t="s">
        <v>13</v>
      </c>
      <c r="F367">
        <v>49</v>
      </c>
      <c r="G367" t="s">
        <v>441</v>
      </c>
      <c r="H367" s="1">
        <v>1846</v>
      </c>
      <c r="I367" s="1" t="s">
        <v>434</v>
      </c>
      <c r="J367">
        <v>2</v>
      </c>
      <c r="K367" t="s">
        <v>464</v>
      </c>
      <c r="L367">
        <v>78</v>
      </c>
      <c r="M367" t="s">
        <v>445</v>
      </c>
    </row>
    <row r="368" spans="1:13" x14ac:dyDescent="0.45">
      <c r="A368" t="s">
        <v>399</v>
      </c>
      <c r="B368" t="s">
        <v>44</v>
      </c>
      <c r="C368" t="s">
        <v>23</v>
      </c>
      <c r="D368" t="s">
        <v>16</v>
      </c>
      <c r="E368" t="s">
        <v>17</v>
      </c>
      <c r="F368">
        <v>42</v>
      </c>
      <c r="G368" t="s">
        <v>446</v>
      </c>
      <c r="H368" s="1">
        <v>1435</v>
      </c>
      <c r="I368" s="1" t="s">
        <v>434</v>
      </c>
      <c r="J368">
        <v>3</v>
      </c>
      <c r="K368" t="s">
        <v>464</v>
      </c>
      <c r="L368">
        <v>62</v>
      </c>
      <c r="M368" t="s">
        <v>439</v>
      </c>
    </row>
    <row r="369" spans="1:13" x14ac:dyDescent="0.45">
      <c r="A369" t="s">
        <v>400</v>
      </c>
      <c r="B369" t="s">
        <v>25</v>
      </c>
      <c r="C369" t="s">
        <v>26</v>
      </c>
      <c r="D369" t="s">
        <v>42</v>
      </c>
      <c r="E369" t="s">
        <v>13</v>
      </c>
      <c r="F369">
        <v>41</v>
      </c>
      <c r="G369" t="s">
        <v>446</v>
      </c>
      <c r="H369" s="1">
        <v>3387</v>
      </c>
      <c r="I369" s="1" t="s">
        <v>437</v>
      </c>
      <c r="J369">
        <v>9</v>
      </c>
      <c r="K369" t="s">
        <v>440</v>
      </c>
      <c r="L369">
        <v>86</v>
      </c>
      <c r="M369" t="s">
        <v>445</v>
      </c>
    </row>
    <row r="370" spans="1:13" x14ac:dyDescent="0.45">
      <c r="A370" t="s">
        <v>401</v>
      </c>
      <c r="B370" t="s">
        <v>49</v>
      </c>
      <c r="C370" t="s">
        <v>40</v>
      </c>
      <c r="D370" t="s">
        <v>29</v>
      </c>
      <c r="E370" t="s">
        <v>17</v>
      </c>
      <c r="F370">
        <v>51</v>
      </c>
      <c r="G370" t="s">
        <v>441</v>
      </c>
      <c r="H370" s="1">
        <v>3490</v>
      </c>
      <c r="I370" s="1" t="s">
        <v>437</v>
      </c>
      <c r="J370">
        <v>1</v>
      </c>
      <c r="K370" t="s">
        <v>464</v>
      </c>
      <c r="L370">
        <v>86</v>
      </c>
      <c r="M370" t="s">
        <v>433</v>
      </c>
    </row>
    <row r="371" spans="1:13" x14ac:dyDescent="0.45">
      <c r="A371" t="s">
        <v>402</v>
      </c>
      <c r="B371" t="s">
        <v>22</v>
      </c>
      <c r="C371" t="s">
        <v>40</v>
      </c>
      <c r="D371" t="s">
        <v>20</v>
      </c>
      <c r="E371" t="s">
        <v>17</v>
      </c>
      <c r="F371">
        <v>60</v>
      </c>
      <c r="G371" t="s">
        <v>441</v>
      </c>
      <c r="H371" s="1">
        <v>2217</v>
      </c>
      <c r="I371" s="1" t="s">
        <v>434</v>
      </c>
      <c r="J371">
        <v>4</v>
      </c>
      <c r="K371" t="s">
        <v>436</v>
      </c>
      <c r="L371">
        <v>68</v>
      </c>
      <c r="M371" t="s">
        <v>439</v>
      </c>
    </row>
    <row r="372" spans="1:13" x14ac:dyDescent="0.45">
      <c r="A372" t="s">
        <v>403</v>
      </c>
      <c r="B372" t="s">
        <v>49</v>
      </c>
      <c r="C372" t="s">
        <v>11</v>
      </c>
      <c r="D372" t="s">
        <v>47</v>
      </c>
      <c r="E372" t="s">
        <v>13</v>
      </c>
      <c r="F372">
        <v>18</v>
      </c>
      <c r="G372" t="s">
        <v>447</v>
      </c>
      <c r="H372" s="1">
        <v>15376</v>
      </c>
      <c r="I372" s="1" t="s">
        <v>444</v>
      </c>
      <c r="J372">
        <v>9</v>
      </c>
      <c r="K372" t="s">
        <v>440</v>
      </c>
      <c r="L372">
        <v>65</v>
      </c>
      <c r="M372" t="s">
        <v>439</v>
      </c>
    </row>
    <row r="373" spans="1:13" x14ac:dyDescent="0.45">
      <c r="A373" t="s">
        <v>404</v>
      </c>
      <c r="B373" t="s">
        <v>44</v>
      </c>
      <c r="C373" t="s">
        <v>40</v>
      </c>
      <c r="D373" t="s">
        <v>47</v>
      </c>
      <c r="E373" t="s">
        <v>13</v>
      </c>
      <c r="F373">
        <v>10</v>
      </c>
      <c r="G373" t="s">
        <v>449</v>
      </c>
      <c r="H373" s="1">
        <v>4178</v>
      </c>
      <c r="I373" s="1" t="s">
        <v>437</v>
      </c>
      <c r="J373">
        <v>5</v>
      </c>
      <c r="K373" t="s">
        <v>436</v>
      </c>
      <c r="L373">
        <v>80</v>
      </c>
      <c r="M373" t="s">
        <v>445</v>
      </c>
    </row>
    <row r="374" spans="1:13" x14ac:dyDescent="0.45">
      <c r="A374" t="s">
        <v>405</v>
      </c>
      <c r="B374" t="s">
        <v>19</v>
      </c>
      <c r="C374" t="s">
        <v>23</v>
      </c>
      <c r="D374" t="s">
        <v>20</v>
      </c>
      <c r="E374" t="s">
        <v>13</v>
      </c>
      <c r="F374">
        <v>89</v>
      </c>
      <c r="G374" t="s">
        <v>438</v>
      </c>
      <c r="H374" s="1">
        <v>1056</v>
      </c>
      <c r="I374" s="1" t="s">
        <v>434</v>
      </c>
      <c r="J374">
        <v>3</v>
      </c>
      <c r="K374" t="s">
        <v>464</v>
      </c>
      <c r="L374">
        <v>52</v>
      </c>
      <c r="M374" t="s">
        <v>439</v>
      </c>
    </row>
    <row r="375" spans="1:13" x14ac:dyDescent="0.45">
      <c r="A375" t="s">
        <v>406</v>
      </c>
      <c r="B375" t="s">
        <v>49</v>
      </c>
      <c r="C375" t="s">
        <v>26</v>
      </c>
      <c r="D375" t="s">
        <v>20</v>
      </c>
      <c r="E375" t="s">
        <v>13</v>
      </c>
      <c r="F375">
        <v>11</v>
      </c>
      <c r="G375" t="s">
        <v>449</v>
      </c>
      <c r="H375" s="1">
        <v>1895</v>
      </c>
      <c r="I375" s="1" t="s">
        <v>434</v>
      </c>
      <c r="J375">
        <v>5</v>
      </c>
      <c r="K375" t="s">
        <v>436</v>
      </c>
      <c r="L375">
        <v>92</v>
      </c>
      <c r="M375" t="s">
        <v>433</v>
      </c>
    </row>
    <row r="376" spans="1:13" x14ac:dyDescent="0.45">
      <c r="A376" t="s">
        <v>407</v>
      </c>
      <c r="B376" t="s">
        <v>10</v>
      </c>
      <c r="C376" t="s">
        <v>26</v>
      </c>
      <c r="D376" t="s">
        <v>42</v>
      </c>
      <c r="E376" t="s">
        <v>13</v>
      </c>
      <c r="F376">
        <v>6</v>
      </c>
      <c r="G376" t="s">
        <v>449</v>
      </c>
      <c r="H376" s="1">
        <v>5613</v>
      </c>
      <c r="I376" s="1" t="s">
        <v>437</v>
      </c>
      <c r="J376">
        <v>8</v>
      </c>
      <c r="K376" t="s">
        <v>440</v>
      </c>
      <c r="L376">
        <v>98</v>
      </c>
      <c r="M376" t="s">
        <v>445</v>
      </c>
    </row>
    <row r="377" spans="1:13" x14ac:dyDescent="0.45">
      <c r="A377" t="s">
        <v>408</v>
      </c>
      <c r="B377" t="s">
        <v>44</v>
      </c>
      <c r="C377" t="s">
        <v>23</v>
      </c>
      <c r="D377" t="s">
        <v>31</v>
      </c>
      <c r="E377" t="s">
        <v>17</v>
      </c>
      <c r="F377">
        <v>34</v>
      </c>
      <c r="G377" t="s">
        <v>446</v>
      </c>
      <c r="H377" s="1">
        <v>654</v>
      </c>
      <c r="I377" s="1" t="s">
        <v>434</v>
      </c>
      <c r="J377">
        <v>3</v>
      </c>
      <c r="K377" t="s">
        <v>464</v>
      </c>
      <c r="L377">
        <v>97</v>
      </c>
      <c r="M377" t="s">
        <v>433</v>
      </c>
    </row>
    <row r="378" spans="1:13" x14ac:dyDescent="0.45">
      <c r="A378" t="s">
        <v>409</v>
      </c>
      <c r="B378" t="s">
        <v>19</v>
      </c>
      <c r="C378" t="s">
        <v>40</v>
      </c>
      <c r="D378" t="s">
        <v>34</v>
      </c>
      <c r="E378" t="s">
        <v>17</v>
      </c>
      <c r="F378">
        <v>60</v>
      </c>
      <c r="G378" t="s">
        <v>441</v>
      </c>
      <c r="H378" s="1">
        <v>4599</v>
      </c>
      <c r="I378" s="1" t="s">
        <v>437</v>
      </c>
      <c r="J378">
        <v>2</v>
      </c>
      <c r="K378" t="s">
        <v>464</v>
      </c>
      <c r="L378">
        <v>72</v>
      </c>
      <c r="M378" t="s">
        <v>445</v>
      </c>
    </row>
    <row r="379" spans="1:13" x14ac:dyDescent="0.45">
      <c r="A379" t="s">
        <v>410</v>
      </c>
      <c r="B379" t="s">
        <v>15</v>
      </c>
      <c r="C379" t="s">
        <v>23</v>
      </c>
      <c r="D379" t="s">
        <v>31</v>
      </c>
      <c r="E379" t="s">
        <v>17</v>
      </c>
      <c r="F379">
        <v>11</v>
      </c>
      <c r="G379" t="s">
        <v>449</v>
      </c>
      <c r="H379" s="1">
        <v>437</v>
      </c>
      <c r="I379" s="1" t="s">
        <v>434</v>
      </c>
      <c r="J379">
        <v>3</v>
      </c>
      <c r="K379" t="s">
        <v>464</v>
      </c>
      <c r="L379">
        <v>59</v>
      </c>
      <c r="M379" t="s">
        <v>439</v>
      </c>
    </row>
    <row r="380" spans="1:13" x14ac:dyDescent="0.45">
      <c r="A380" t="s">
        <v>411</v>
      </c>
      <c r="B380" t="s">
        <v>44</v>
      </c>
      <c r="C380" t="s">
        <v>26</v>
      </c>
      <c r="D380" t="s">
        <v>29</v>
      </c>
      <c r="E380" t="s">
        <v>17</v>
      </c>
      <c r="F380">
        <v>27</v>
      </c>
      <c r="G380" t="s">
        <v>435</v>
      </c>
      <c r="H380" s="1">
        <v>5268</v>
      </c>
      <c r="I380" s="1" t="s">
        <v>437</v>
      </c>
      <c r="J380">
        <v>9</v>
      </c>
      <c r="K380" t="s">
        <v>440</v>
      </c>
      <c r="L380">
        <v>72</v>
      </c>
      <c r="M380" t="s">
        <v>445</v>
      </c>
    </row>
    <row r="381" spans="1:13" x14ac:dyDescent="0.45">
      <c r="A381" t="s">
        <v>412</v>
      </c>
      <c r="B381" t="s">
        <v>25</v>
      </c>
      <c r="C381" t="s">
        <v>11</v>
      </c>
      <c r="D381" t="s">
        <v>34</v>
      </c>
      <c r="E381" t="s">
        <v>13</v>
      </c>
      <c r="F381">
        <v>58</v>
      </c>
      <c r="G381" t="s">
        <v>441</v>
      </c>
      <c r="H381" s="1">
        <v>10225</v>
      </c>
      <c r="I381" s="1" t="s">
        <v>448</v>
      </c>
      <c r="J381">
        <v>6</v>
      </c>
      <c r="K381" t="s">
        <v>436</v>
      </c>
      <c r="L381">
        <v>69</v>
      </c>
      <c r="M381" t="s">
        <v>439</v>
      </c>
    </row>
    <row r="382" spans="1:13" x14ac:dyDescent="0.45">
      <c r="A382" t="s">
        <v>413</v>
      </c>
      <c r="B382" t="s">
        <v>15</v>
      </c>
      <c r="C382" t="s">
        <v>11</v>
      </c>
      <c r="D382" t="s">
        <v>12</v>
      </c>
      <c r="E382" t="s">
        <v>13</v>
      </c>
      <c r="F382">
        <v>83</v>
      </c>
      <c r="G382" t="s">
        <v>438</v>
      </c>
      <c r="H382" s="1">
        <v>6791</v>
      </c>
      <c r="I382" s="1" t="s">
        <v>437</v>
      </c>
      <c r="J382">
        <v>15</v>
      </c>
      <c r="K382" t="s">
        <v>463</v>
      </c>
      <c r="L382">
        <v>60</v>
      </c>
      <c r="M382" t="s">
        <v>442</v>
      </c>
    </row>
    <row r="383" spans="1:13" x14ac:dyDescent="0.45">
      <c r="A383" t="s">
        <v>414</v>
      </c>
      <c r="B383" t="s">
        <v>10</v>
      </c>
      <c r="C383" t="s">
        <v>40</v>
      </c>
      <c r="D383" t="s">
        <v>20</v>
      </c>
      <c r="E383" t="s">
        <v>17</v>
      </c>
      <c r="F383">
        <v>21</v>
      </c>
      <c r="G383" t="s">
        <v>435</v>
      </c>
      <c r="H383" s="1">
        <v>3211</v>
      </c>
      <c r="I383" s="1" t="s">
        <v>437</v>
      </c>
      <c r="J383">
        <v>5</v>
      </c>
      <c r="K383" t="s">
        <v>436</v>
      </c>
      <c r="L383">
        <v>77</v>
      </c>
      <c r="M383" t="s">
        <v>445</v>
      </c>
    </row>
    <row r="384" spans="1:13" x14ac:dyDescent="0.45">
      <c r="A384" t="s">
        <v>415</v>
      </c>
      <c r="B384" t="s">
        <v>25</v>
      </c>
      <c r="C384" t="s">
        <v>40</v>
      </c>
      <c r="D384" t="s">
        <v>47</v>
      </c>
      <c r="E384" t="s">
        <v>13</v>
      </c>
      <c r="F384">
        <v>24</v>
      </c>
      <c r="G384" t="s">
        <v>435</v>
      </c>
      <c r="H384" s="1">
        <v>4040</v>
      </c>
      <c r="I384" s="1" t="s">
        <v>437</v>
      </c>
      <c r="J384">
        <v>4</v>
      </c>
      <c r="K384" t="s">
        <v>436</v>
      </c>
      <c r="L384">
        <v>51</v>
      </c>
      <c r="M384" t="s">
        <v>439</v>
      </c>
    </row>
    <row r="385" spans="1:13" x14ac:dyDescent="0.45">
      <c r="A385" t="s">
        <v>416</v>
      </c>
      <c r="B385" t="s">
        <v>10</v>
      </c>
      <c r="C385" t="s">
        <v>40</v>
      </c>
      <c r="D385" t="s">
        <v>34</v>
      </c>
      <c r="E385" t="s">
        <v>13</v>
      </c>
      <c r="F385">
        <v>50</v>
      </c>
      <c r="G385" t="s">
        <v>441</v>
      </c>
      <c r="H385" s="1">
        <v>536</v>
      </c>
      <c r="I385" s="1" t="s">
        <v>434</v>
      </c>
      <c r="J385">
        <v>2</v>
      </c>
      <c r="K385" t="s">
        <v>464</v>
      </c>
      <c r="L385">
        <v>63</v>
      </c>
      <c r="M385" t="s">
        <v>439</v>
      </c>
    </row>
    <row r="386" spans="1:13" x14ac:dyDescent="0.45">
      <c r="A386" t="s">
        <v>417</v>
      </c>
      <c r="B386" t="s">
        <v>44</v>
      </c>
      <c r="C386" t="s">
        <v>11</v>
      </c>
      <c r="D386" t="s">
        <v>16</v>
      </c>
      <c r="E386" t="s">
        <v>17</v>
      </c>
      <c r="F386">
        <v>69</v>
      </c>
      <c r="G386" t="s">
        <v>438</v>
      </c>
      <c r="H386" s="1">
        <v>8063</v>
      </c>
      <c r="I386" s="1" t="s">
        <v>448</v>
      </c>
      <c r="J386">
        <v>10</v>
      </c>
      <c r="K386" t="s">
        <v>443</v>
      </c>
      <c r="L386">
        <v>70</v>
      </c>
      <c r="M386" t="s">
        <v>439</v>
      </c>
    </row>
    <row r="387" spans="1:13" x14ac:dyDescent="0.45">
      <c r="A387" t="s">
        <v>418</v>
      </c>
      <c r="B387" t="s">
        <v>22</v>
      </c>
      <c r="C387" t="s">
        <v>23</v>
      </c>
      <c r="D387" t="s">
        <v>31</v>
      </c>
      <c r="E387" t="s">
        <v>17</v>
      </c>
      <c r="F387">
        <v>63</v>
      </c>
      <c r="G387" t="s">
        <v>438</v>
      </c>
      <c r="H387" s="1">
        <v>1280</v>
      </c>
      <c r="I387" s="1" t="s">
        <v>434</v>
      </c>
      <c r="J387">
        <v>3</v>
      </c>
      <c r="K387" t="s">
        <v>464</v>
      </c>
      <c r="L387">
        <v>70</v>
      </c>
      <c r="M387" t="s">
        <v>445</v>
      </c>
    </row>
    <row r="388" spans="1:13" x14ac:dyDescent="0.45">
      <c r="A388" t="s">
        <v>419</v>
      </c>
      <c r="B388" t="s">
        <v>19</v>
      </c>
      <c r="C388" t="s">
        <v>23</v>
      </c>
      <c r="D388" t="s">
        <v>16</v>
      </c>
      <c r="E388" t="s">
        <v>17</v>
      </c>
      <c r="F388">
        <v>15</v>
      </c>
      <c r="G388" t="s">
        <v>447</v>
      </c>
      <c r="H388" s="1">
        <v>912</v>
      </c>
      <c r="I388" s="1" t="s">
        <v>434</v>
      </c>
      <c r="J388">
        <v>2</v>
      </c>
      <c r="K388" t="s">
        <v>464</v>
      </c>
      <c r="L388">
        <v>79</v>
      </c>
      <c r="M388" t="s">
        <v>445</v>
      </c>
    </row>
    <row r="389" spans="1:13" x14ac:dyDescent="0.45">
      <c r="A389" t="s">
        <v>420</v>
      </c>
      <c r="B389" t="s">
        <v>19</v>
      </c>
      <c r="C389" t="s">
        <v>40</v>
      </c>
      <c r="D389" t="s">
        <v>27</v>
      </c>
      <c r="E389" t="s">
        <v>13</v>
      </c>
      <c r="F389">
        <v>76</v>
      </c>
      <c r="G389" t="s">
        <v>438</v>
      </c>
      <c r="H389" s="1">
        <v>1194</v>
      </c>
      <c r="I389" s="1" t="s">
        <v>434</v>
      </c>
      <c r="J389">
        <v>2</v>
      </c>
      <c r="K389" t="s">
        <v>464</v>
      </c>
      <c r="L389">
        <v>70</v>
      </c>
      <c r="M389" t="s">
        <v>445</v>
      </c>
    </row>
    <row r="390" spans="1:13" x14ac:dyDescent="0.45">
      <c r="A390" t="s">
        <v>421</v>
      </c>
      <c r="B390" t="s">
        <v>15</v>
      </c>
      <c r="C390" t="s">
        <v>40</v>
      </c>
      <c r="D390" t="s">
        <v>27</v>
      </c>
      <c r="E390" t="s">
        <v>17</v>
      </c>
      <c r="F390">
        <v>48</v>
      </c>
      <c r="G390" t="s">
        <v>441</v>
      </c>
      <c r="H390" s="1">
        <v>1658</v>
      </c>
      <c r="I390" s="1" t="s">
        <v>434</v>
      </c>
      <c r="J390">
        <v>5</v>
      </c>
      <c r="K390" t="s">
        <v>436</v>
      </c>
      <c r="L390">
        <v>74</v>
      </c>
      <c r="M390" t="s">
        <v>445</v>
      </c>
    </row>
    <row r="391" spans="1:13" x14ac:dyDescent="0.45">
      <c r="A391" t="s">
        <v>422</v>
      </c>
      <c r="B391" t="s">
        <v>25</v>
      </c>
      <c r="C391" t="s">
        <v>40</v>
      </c>
      <c r="D391" t="s">
        <v>16</v>
      </c>
      <c r="E391" t="s">
        <v>17</v>
      </c>
      <c r="F391">
        <v>24</v>
      </c>
      <c r="G391" t="s">
        <v>435</v>
      </c>
      <c r="H391" s="1">
        <v>4486</v>
      </c>
      <c r="I391" s="1" t="s">
        <v>437</v>
      </c>
      <c r="J391">
        <v>5</v>
      </c>
      <c r="K391" t="s">
        <v>436</v>
      </c>
      <c r="L391">
        <v>94</v>
      </c>
      <c r="M391" t="s">
        <v>433</v>
      </c>
    </row>
    <row r="392" spans="1:13" x14ac:dyDescent="0.45">
      <c r="A392" t="s">
        <v>423</v>
      </c>
      <c r="B392" t="s">
        <v>10</v>
      </c>
      <c r="C392" t="s">
        <v>40</v>
      </c>
      <c r="D392" t="s">
        <v>20</v>
      </c>
      <c r="E392" t="s">
        <v>17</v>
      </c>
      <c r="F392">
        <v>37</v>
      </c>
      <c r="G392" t="s">
        <v>446</v>
      </c>
      <c r="H392" s="1">
        <v>1649</v>
      </c>
      <c r="I392" s="1" t="s">
        <v>434</v>
      </c>
      <c r="J392">
        <v>2</v>
      </c>
      <c r="K392" t="s">
        <v>464</v>
      </c>
      <c r="L392">
        <v>70</v>
      </c>
      <c r="M392" t="s">
        <v>445</v>
      </c>
    </row>
    <row r="393" spans="1:13" x14ac:dyDescent="0.45">
      <c r="A393" t="s">
        <v>424</v>
      </c>
      <c r="B393" t="s">
        <v>49</v>
      </c>
      <c r="C393" t="s">
        <v>23</v>
      </c>
      <c r="D393" t="s">
        <v>16</v>
      </c>
      <c r="E393" t="s">
        <v>17</v>
      </c>
      <c r="F393">
        <v>46</v>
      </c>
      <c r="G393" t="s">
        <v>441</v>
      </c>
      <c r="H393" s="1">
        <v>219</v>
      </c>
      <c r="I393" s="1" t="s">
        <v>434</v>
      </c>
      <c r="J393">
        <v>2</v>
      </c>
      <c r="K393" t="s">
        <v>464</v>
      </c>
      <c r="L393">
        <v>58</v>
      </c>
      <c r="M393" t="s">
        <v>439</v>
      </c>
    </row>
    <row r="394" spans="1:13" x14ac:dyDescent="0.45">
      <c r="A394" t="s">
        <v>425</v>
      </c>
      <c r="B394" t="s">
        <v>22</v>
      </c>
      <c r="C394" t="s">
        <v>23</v>
      </c>
      <c r="D394" t="s">
        <v>20</v>
      </c>
      <c r="E394" t="s">
        <v>13</v>
      </c>
      <c r="F394">
        <v>64</v>
      </c>
      <c r="G394" t="s">
        <v>438</v>
      </c>
      <c r="H394" s="1">
        <v>1037</v>
      </c>
      <c r="I394" s="1" t="s">
        <v>434</v>
      </c>
      <c r="J394">
        <v>3</v>
      </c>
      <c r="K394" t="s">
        <v>464</v>
      </c>
      <c r="L394">
        <v>81</v>
      </c>
      <c r="M394" t="s">
        <v>445</v>
      </c>
    </row>
    <row r="395" spans="1:13" x14ac:dyDescent="0.45">
      <c r="A395" t="s">
        <v>426</v>
      </c>
      <c r="B395" t="s">
        <v>25</v>
      </c>
      <c r="C395" t="s">
        <v>23</v>
      </c>
      <c r="D395" t="s">
        <v>34</v>
      </c>
      <c r="E395" t="s">
        <v>17</v>
      </c>
      <c r="F395">
        <v>73</v>
      </c>
      <c r="G395" t="s">
        <v>438</v>
      </c>
      <c r="H395" s="1">
        <v>263</v>
      </c>
      <c r="I395" s="1" t="s">
        <v>434</v>
      </c>
      <c r="J395">
        <v>1</v>
      </c>
      <c r="K395" t="s">
        <v>464</v>
      </c>
      <c r="L395">
        <v>68</v>
      </c>
      <c r="M395" t="s">
        <v>439</v>
      </c>
    </row>
    <row r="396" spans="1:13" x14ac:dyDescent="0.45">
      <c r="A396" t="s">
        <v>427</v>
      </c>
      <c r="B396" t="s">
        <v>15</v>
      </c>
      <c r="C396" t="s">
        <v>26</v>
      </c>
      <c r="D396" t="s">
        <v>60</v>
      </c>
      <c r="E396" t="s">
        <v>13</v>
      </c>
      <c r="F396">
        <v>22</v>
      </c>
      <c r="G396" t="s">
        <v>435</v>
      </c>
      <c r="H396" s="1">
        <v>4746</v>
      </c>
      <c r="I396" s="1" t="s">
        <v>437</v>
      </c>
      <c r="J396">
        <v>9</v>
      </c>
      <c r="K396" t="s">
        <v>440</v>
      </c>
      <c r="L396">
        <v>85</v>
      </c>
      <c r="M396" t="s">
        <v>445</v>
      </c>
    </row>
    <row r="397" spans="1:13" x14ac:dyDescent="0.45">
      <c r="A397" t="s">
        <v>428</v>
      </c>
      <c r="B397" t="s">
        <v>19</v>
      </c>
      <c r="C397" t="s">
        <v>11</v>
      </c>
      <c r="D397" t="s">
        <v>16</v>
      </c>
      <c r="E397" t="s">
        <v>17</v>
      </c>
      <c r="F397">
        <v>70</v>
      </c>
      <c r="G397" t="s">
        <v>438</v>
      </c>
      <c r="H397" s="1">
        <v>18488</v>
      </c>
      <c r="I397" s="1" t="s">
        <v>444</v>
      </c>
      <c r="J397">
        <v>10</v>
      </c>
      <c r="K397" t="s">
        <v>443</v>
      </c>
      <c r="L397">
        <v>84</v>
      </c>
      <c r="M397" t="s">
        <v>439</v>
      </c>
    </row>
    <row r="398" spans="1:13" x14ac:dyDescent="0.45">
      <c r="A398" t="s">
        <v>429</v>
      </c>
      <c r="B398" t="s">
        <v>49</v>
      </c>
      <c r="C398" t="s">
        <v>11</v>
      </c>
      <c r="D398" t="s">
        <v>34</v>
      </c>
      <c r="E398" t="s">
        <v>13</v>
      </c>
      <c r="F398">
        <v>55</v>
      </c>
      <c r="G398" t="s">
        <v>441</v>
      </c>
      <c r="H398" s="1">
        <v>6677</v>
      </c>
      <c r="I398" s="1" t="s">
        <v>437</v>
      </c>
      <c r="J398">
        <v>15</v>
      </c>
      <c r="K398" t="s">
        <v>463</v>
      </c>
      <c r="L398">
        <v>98</v>
      </c>
      <c r="M398" t="s">
        <v>442</v>
      </c>
    </row>
    <row r="399" spans="1:13" x14ac:dyDescent="0.45">
      <c r="A399" t="s">
        <v>430</v>
      </c>
      <c r="B399" t="s">
        <v>22</v>
      </c>
      <c r="C399" t="s">
        <v>26</v>
      </c>
      <c r="D399" t="s">
        <v>12</v>
      </c>
      <c r="E399" t="s">
        <v>17</v>
      </c>
      <c r="F399">
        <v>45</v>
      </c>
      <c r="G399" t="s">
        <v>441</v>
      </c>
      <c r="H399" s="1">
        <v>1712</v>
      </c>
      <c r="I399" s="1" t="s">
        <v>434</v>
      </c>
      <c r="J399">
        <v>9</v>
      </c>
      <c r="K399" t="s">
        <v>440</v>
      </c>
      <c r="L399">
        <v>57</v>
      </c>
      <c r="M399" t="s">
        <v>439</v>
      </c>
    </row>
    <row r="400" spans="1:13" x14ac:dyDescent="0.45">
      <c r="A400" t="s">
        <v>431</v>
      </c>
      <c r="B400" t="s">
        <v>49</v>
      </c>
      <c r="C400" t="s">
        <v>40</v>
      </c>
      <c r="D400" t="s">
        <v>60</v>
      </c>
      <c r="E400" t="s">
        <v>13</v>
      </c>
      <c r="F400">
        <v>76</v>
      </c>
      <c r="G400" t="s">
        <v>438</v>
      </c>
      <c r="H400" s="1">
        <v>3372</v>
      </c>
      <c r="I400" s="1" t="s">
        <v>437</v>
      </c>
      <c r="J400">
        <v>5</v>
      </c>
      <c r="K400" t="s">
        <v>436</v>
      </c>
      <c r="L400">
        <v>90</v>
      </c>
      <c r="M400" t="s">
        <v>433</v>
      </c>
    </row>
    <row r="401" spans="1:13" x14ac:dyDescent="0.45">
      <c r="A401" t="s">
        <v>432</v>
      </c>
      <c r="B401" t="s">
        <v>25</v>
      </c>
      <c r="C401" t="s">
        <v>40</v>
      </c>
      <c r="D401" t="s">
        <v>16</v>
      </c>
      <c r="E401" t="s">
        <v>17</v>
      </c>
      <c r="F401">
        <v>27</v>
      </c>
      <c r="G401" t="s">
        <v>435</v>
      </c>
      <c r="H401" s="1">
        <v>2195</v>
      </c>
      <c r="I401" s="1" t="s">
        <v>434</v>
      </c>
      <c r="J401">
        <v>1</v>
      </c>
      <c r="K401" t="s">
        <v>464</v>
      </c>
      <c r="L401">
        <v>86</v>
      </c>
      <c r="M401" t="s">
        <v>433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01CF-F489-4F8F-B6F0-EEE3E8711DED}">
  <dimension ref="B2:I85"/>
  <sheetViews>
    <sheetView zoomScale="101" workbookViewId="0">
      <selection activeCell="C3" sqref="C3"/>
    </sheetView>
  </sheetViews>
  <sheetFormatPr defaultRowHeight="14.25" x14ac:dyDescent="0.45"/>
  <cols>
    <col min="2" max="2" width="15.19921875" bestFit="1" customWidth="1"/>
    <col min="3" max="3" width="17.46484375" bestFit="1" customWidth="1"/>
    <col min="4" max="4" width="10.53125" bestFit="1" customWidth="1"/>
    <col min="5" max="5" width="23.86328125" bestFit="1" customWidth="1"/>
    <col min="6" max="6" width="17.46484375" bestFit="1" customWidth="1"/>
    <col min="8" max="8" width="14.06640625" bestFit="1" customWidth="1"/>
    <col min="9" max="9" width="16.46484375" bestFit="1" customWidth="1"/>
  </cols>
  <sheetData>
    <row r="2" spans="2:6" x14ac:dyDescent="0.45">
      <c r="B2" t="s">
        <v>456</v>
      </c>
      <c r="C2" t="s">
        <v>457</v>
      </c>
      <c r="D2" t="s">
        <v>458</v>
      </c>
      <c r="E2" t="s">
        <v>459</v>
      </c>
      <c r="F2" t="s">
        <v>460</v>
      </c>
    </row>
    <row r="3" spans="2:6" x14ac:dyDescent="0.45">
      <c r="B3">
        <v>400</v>
      </c>
      <c r="C3" s="7">
        <v>5051.5249999999996</v>
      </c>
      <c r="D3" s="8">
        <v>45.005000000000003</v>
      </c>
      <c r="E3" s="8">
        <v>5.3525</v>
      </c>
      <c r="F3">
        <v>75.34</v>
      </c>
    </row>
    <row r="6" spans="2:6" x14ac:dyDescent="0.45">
      <c r="B6" s="5" t="s">
        <v>454</v>
      </c>
      <c r="C6" t="s">
        <v>460</v>
      </c>
      <c r="E6" t="s">
        <v>454</v>
      </c>
      <c r="F6" t="s">
        <v>460</v>
      </c>
    </row>
    <row r="7" spans="2:6" x14ac:dyDescent="0.45">
      <c r="B7" s="6" t="s">
        <v>31</v>
      </c>
      <c r="C7" s="9">
        <v>78.510638297872347</v>
      </c>
      <c r="E7" t="s">
        <v>31</v>
      </c>
      <c r="F7" s="9">
        <f>C7</f>
        <v>78.510638297872347</v>
      </c>
    </row>
    <row r="8" spans="2:6" x14ac:dyDescent="0.45">
      <c r="B8" s="6" t="s">
        <v>47</v>
      </c>
      <c r="C8" s="9">
        <v>77.230769230769226</v>
      </c>
      <c r="E8" t="s">
        <v>47</v>
      </c>
      <c r="F8" s="9">
        <f t="shared" ref="F8:F17" si="0">C8</f>
        <v>77.230769230769226</v>
      </c>
    </row>
    <row r="9" spans="2:6" x14ac:dyDescent="0.45">
      <c r="B9" s="6" t="s">
        <v>27</v>
      </c>
      <c r="C9" s="9">
        <v>76.906976744186053</v>
      </c>
      <c r="E9" t="s">
        <v>27</v>
      </c>
      <c r="F9" s="9">
        <f t="shared" si="0"/>
        <v>76.906976744186053</v>
      </c>
    </row>
    <row r="10" spans="2:6" x14ac:dyDescent="0.45">
      <c r="B10" s="6" t="s">
        <v>29</v>
      </c>
      <c r="C10" s="9">
        <v>76.804878048780495</v>
      </c>
      <c r="E10" t="s">
        <v>29</v>
      </c>
      <c r="F10" s="9">
        <f t="shared" si="0"/>
        <v>76.804878048780495</v>
      </c>
    </row>
    <row r="11" spans="2:6" x14ac:dyDescent="0.45">
      <c r="B11" s="6" t="s">
        <v>42</v>
      </c>
      <c r="C11" s="9">
        <v>76.375</v>
      </c>
      <c r="E11" t="s">
        <v>42</v>
      </c>
      <c r="F11" s="9">
        <f t="shared" si="0"/>
        <v>76.375</v>
      </c>
    </row>
    <row r="12" spans="2:6" x14ac:dyDescent="0.45">
      <c r="B12" s="6" t="s">
        <v>60</v>
      </c>
      <c r="C12" s="9">
        <v>75.290322580645167</v>
      </c>
      <c r="E12" t="s">
        <v>60</v>
      </c>
      <c r="F12" s="9">
        <f t="shared" si="0"/>
        <v>75.290322580645167</v>
      </c>
    </row>
    <row r="13" spans="2:6" x14ac:dyDescent="0.45">
      <c r="B13" s="6" t="s">
        <v>34</v>
      </c>
      <c r="C13" s="9">
        <v>74.893617021276597</v>
      </c>
      <c r="E13" t="s">
        <v>34</v>
      </c>
      <c r="F13" s="9">
        <f t="shared" si="0"/>
        <v>74.893617021276597</v>
      </c>
    </row>
    <row r="14" spans="2:6" x14ac:dyDescent="0.45">
      <c r="B14" s="6" t="s">
        <v>16</v>
      </c>
      <c r="C14" s="9">
        <v>73.5</v>
      </c>
      <c r="E14" t="s">
        <v>16</v>
      </c>
      <c r="F14" s="9">
        <f t="shared" si="0"/>
        <v>73.5</v>
      </c>
    </row>
    <row r="15" spans="2:6" x14ac:dyDescent="0.45">
      <c r="B15" s="6" t="s">
        <v>20</v>
      </c>
      <c r="C15" s="9">
        <v>72.781818181818181</v>
      </c>
      <c r="E15" t="s">
        <v>20</v>
      </c>
      <c r="F15" s="9">
        <f t="shared" si="0"/>
        <v>72.781818181818181</v>
      </c>
    </row>
    <row r="16" spans="2:6" x14ac:dyDescent="0.45">
      <c r="B16" s="6" t="s">
        <v>12</v>
      </c>
      <c r="C16" s="9">
        <v>69.777777777777771</v>
      </c>
      <c r="E16" t="s">
        <v>12</v>
      </c>
      <c r="F16" s="9">
        <f t="shared" si="0"/>
        <v>69.777777777777771</v>
      </c>
    </row>
    <row r="17" spans="2:9" x14ac:dyDescent="0.45">
      <c r="B17" s="6" t="s">
        <v>455</v>
      </c>
      <c r="C17">
        <v>75.34</v>
      </c>
      <c r="E17" t="s">
        <v>455</v>
      </c>
      <c r="F17" s="9">
        <f t="shared" si="0"/>
        <v>75.34</v>
      </c>
    </row>
    <row r="20" spans="2:9" x14ac:dyDescent="0.45">
      <c r="B20" s="5" t="s">
        <v>461</v>
      </c>
      <c r="C20" t="s">
        <v>456</v>
      </c>
      <c r="E20" t="s">
        <v>461</v>
      </c>
      <c r="F20" t="s">
        <v>456</v>
      </c>
      <c r="H20" s="5" t="s">
        <v>461</v>
      </c>
      <c r="I20" t="s">
        <v>456</v>
      </c>
    </row>
    <row r="21" spans="2:9" x14ac:dyDescent="0.45">
      <c r="B21" s="6" t="s">
        <v>448</v>
      </c>
      <c r="C21">
        <v>17</v>
      </c>
      <c r="E21" s="6" t="s">
        <v>448</v>
      </c>
      <c r="F21">
        <f t="shared" ref="F21:F26" si="1">C21</f>
        <v>17</v>
      </c>
      <c r="H21" s="6" t="s">
        <v>448</v>
      </c>
      <c r="I21">
        <v>17</v>
      </c>
    </row>
    <row r="22" spans="2:9" x14ac:dyDescent="0.45">
      <c r="B22" s="6" t="s">
        <v>444</v>
      </c>
      <c r="C22">
        <v>31</v>
      </c>
      <c r="E22" s="6" t="s">
        <v>444</v>
      </c>
      <c r="F22">
        <f t="shared" si="1"/>
        <v>31</v>
      </c>
      <c r="H22" s="6" t="s">
        <v>444</v>
      </c>
      <c r="I22">
        <v>31</v>
      </c>
    </row>
    <row r="23" spans="2:9" x14ac:dyDescent="0.45">
      <c r="B23" s="6" t="s">
        <v>451</v>
      </c>
      <c r="C23">
        <v>33</v>
      </c>
      <c r="E23" s="6" t="s">
        <v>451</v>
      </c>
      <c r="F23">
        <f t="shared" si="1"/>
        <v>33</v>
      </c>
      <c r="H23" s="6" t="s">
        <v>451</v>
      </c>
      <c r="I23">
        <v>33</v>
      </c>
    </row>
    <row r="24" spans="2:9" x14ac:dyDescent="0.45">
      <c r="B24" s="6" t="s">
        <v>437</v>
      </c>
      <c r="C24">
        <v>134</v>
      </c>
      <c r="E24" s="6" t="s">
        <v>437</v>
      </c>
      <c r="F24">
        <f t="shared" si="1"/>
        <v>134</v>
      </c>
      <c r="H24" s="6" t="s">
        <v>437</v>
      </c>
      <c r="I24">
        <v>134</v>
      </c>
    </row>
    <row r="25" spans="2:9" x14ac:dyDescent="0.45">
      <c r="B25" s="6" t="s">
        <v>434</v>
      </c>
      <c r="C25">
        <v>185</v>
      </c>
      <c r="E25" s="6" t="s">
        <v>434</v>
      </c>
      <c r="F25">
        <f t="shared" si="1"/>
        <v>185</v>
      </c>
      <c r="H25" s="6" t="s">
        <v>434</v>
      </c>
      <c r="I25">
        <v>185</v>
      </c>
    </row>
    <row r="26" spans="2:9" x14ac:dyDescent="0.45">
      <c r="B26" s="6" t="s">
        <v>455</v>
      </c>
      <c r="C26">
        <v>400</v>
      </c>
      <c r="E26" t="s">
        <v>455</v>
      </c>
      <c r="F26">
        <f t="shared" si="1"/>
        <v>400</v>
      </c>
      <c r="H26" s="6" t="s">
        <v>455</v>
      </c>
      <c r="I26">
        <v>400</v>
      </c>
    </row>
    <row r="29" spans="2:9" x14ac:dyDescent="0.45">
      <c r="B29" s="5" t="s">
        <v>2</v>
      </c>
      <c r="C29" t="s">
        <v>460</v>
      </c>
      <c r="E29" t="s">
        <v>454</v>
      </c>
      <c r="F29" t="s">
        <v>460</v>
      </c>
    </row>
    <row r="30" spans="2:9" x14ac:dyDescent="0.45">
      <c r="B30" s="6" t="s">
        <v>23</v>
      </c>
      <c r="C30" s="9">
        <v>72.862745098039213</v>
      </c>
      <c r="E30" t="s">
        <v>40</v>
      </c>
      <c r="F30" s="9">
        <f>C30</f>
        <v>72.862745098039213</v>
      </c>
    </row>
    <row r="31" spans="2:9" x14ac:dyDescent="0.45">
      <c r="B31" s="6" t="s">
        <v>40</v>
      </c>
      <c r="C31" s="9">
        <v>75.666666666666671</v>
      </c>
      <c r="E31" t="s">
        <v>23</v>
      </c>
      <c r="F31" s="9">
        <f>C31</f>
        <v>75.666666666666671</v>
      </c>
    </row>
    <row r="32" spans="2:9" x14ac:dyDescent="0.45">
      <c r="B32" s="6" t="s">
        <v>26</v>
      </c>
      <c r="C32" s="9">
        <v>76.090909090909093</v>
      </c>
      <c r="E32" t="s">
        <v>11</v>
      </c>
      <c r="F32" s="9">
        <f>C32</f>
        <v>76.090909090909093</v>
      </c>
    </row>
    <row r="33" spans="2:6" x14ac:dyDescent="0.45">
      <c r="B33" s="6" t="s">
        <v>11</v>
      </c>
      <c r="C33" s="9">
        <v>76.835051546391753</v>
      </c>
      <c r="E33" t="s">
        <v>26</v>
      </c>
      <c r="F33" s="9">
        <f>C33</f>
        <v>76.835051546391753</v>
      </c>
    </row>
    <row r="34" spans="2:6" x14ac:dyDescent="0.45">
      <c r="B34" s="6" t="s">
        <v>455</v>
      </c>
      <c r="C34">
        <v>75.34</v>
      </c>
      <c r="E34" t="s">
        <v>455</v>
      </c>
      <c r="F34" s="9">
        <f>C34</f>
        <v>75.34</v>
      </c>
    </row>
    <row r="37" spans="2:6" x14ac:dyDescent="0.45">
      <c r="B37" s="5" t="s">
        <v>4</v>
      </c>
      <c r="C37" t="s">
        <v>460</v>
      </c>
      <c r="E37" t="s">
        <v>4</v>
      </c>
      <c r="F37" t="s">
        <v>460</v>
      </c>
    </row>
    <row r="38" spans="2:6" x14ac:dyDescent="0.45">
      <c r="B38" s="6" t="s">
        <v>13</v>
      </c>
      <c r="C38" s="9">
        <v>75.285714285714292</v>
      </c>
      <c r="E38" t="s">
        <v>13</v>
      </c>
      <c r="F38" s="9">
        <f>C38</f>
        <v>75.285714285714292</v>
      </c>
    </row>
    <row r="39" spans="2:6" x14ac:dyDescent="0.45">
      <c r="B39" s="6" t="s">
        <v>17</v>
      </c>
      <c r="C39" s="9">
        <v>75.553398058252426</v>
      </c>
      <c r="E39" t="s">
        <v>17</v>
      </c>
      <c r="F39" s="9">
        <f>C39</f>
        <v>75.553398058252426</v>
      </c>
    </row>
    <row r="40" spans="2:6" x14ac:dyDescent="0.45">
      <c r="B40" s="6" t="s">
        <v>37</v>
      </c>
      <c r="C40" s="9">
        <v>68.599999999999994</v>
      </c>
      <c r="E40" t="s">
        <v>37</v>
      </c>
      <c r="F40" s="9">
        <f>C40</f>
        <v>68.599999999999994</v>
      </c>
    </row>
    <row r="41" spans="2:6" x14ac:dyDescent="0.45">
      <c r="B41" s="6" t="s">
        <v>455</v>
      </c>
      <c r="C41">
        <v>75.34</v>
      </c>
      <c r="E41" t="s">
        <v>455</v>
      </c>
      <c r="F41" s="9">
        <f>C41</f>
        <v>75.34</v>
      </c>
    </row>
    <row r="44" spans="2:6" x14ac:dyDescent="0.45">
      <c r="B44" s="5" t="s">
        <v>454</v>
      </c>
      <c r="C44" t="s">
        <v>460</v>
      </c>
      <c r="E44" t="s">
        <v>454</v>
      </c>
      <c r="F44" t="s">
        <v>462</v>
      </c>
    </row>
    <row r="45" spans="2:6" x14ac:dyDescent="0.45">
      <c r="B45" s="6" t="s">
        <v>447</v>
      </c>
      <c r="C45" s="9">
        <v>73.933333333333337</v>
      </c>
      <c r="E45" t="s">
        <v>447</v>
      </c>
      <c r="F45" s="9">
        <f>C45</f>
        <v>73.933333333333337</v>
      </c>
    </row>
    <row r="46" spans="2:6" x14ac:dyDescent="0.45">
      <c r="B46" s="6" t="s">
        <v>450</v>
      </c>
      <c r="C46" s="9">
        <v>74.235294117647058</v>
      </c>
      <c r="E46" t="s">
        <v>450</v>
      </c>
      <c r="F46" s="9">
        <f t="shared" ref="F46:F52" si="2">C46</f>
        <v>74.235294117647058</v>
      </c>
    </row>
    <row r="47" spans="2:6" x14ac:dyDescent="0.45">
      <c r="B47" s="6" t="s">
        <v>435</v>
      </c>
      <c r="C47" s="9">
        <v>74.578947368421055</v>
      </c>
      <c r="E47" t="s">
        <v>435</v>
      </c>
      <c r="F47" s="9">
        <f t="shared" si="2"/>
        <v>74.578947368421055</v>
      </c>
    </row>
    <row r="48" spans="2:6" x14ac:dyDescent="0.45">
      <c r="B48" s="6" t="s">
        <v>441</v>
      </c>
      <c r="C48" s="9">
        <v>74.891566265060234</v>
      </c>
      <c r="E48" t="s">
        <v>441</v>
      </c>
      <c r="F48" s="9">
        <f t="shared" si="2"/>
        <v>74.891566265060234</v>
      </c>
    </row>
    <row r="49" spans="2:6" x14ac:dyDescent="0.45">
      <c r="B49" s="6" t="s">
        <v>446</v>
      </c>
      <c r="C49" s="9">
        <v>75.537313432835816</v>
      </c>
      <c r="E49" t="s">
        <v>446</v>
      </c>
      <c r="F49" s="9">
        <f t="shared" si="2"/>
        <v>75.537313432835816</v>
      </c>
    </row>
    <row r="50" spans="2:6" x14ac:dyDescent="0.45">
      <c r="B50" s="6" t="s">
        <v>449</v>
      </c>
      <c r="C50" s="9">
        <v>76.023809523809518</v>
      </c>
      <c r="E50" t="s">
        <v>449</v>
      </c>
      <c r="F50" s="9">
        <f t="shared" si="2"/>
        <v>76.023809523809518</v>
      </c>
    </row>
    <row r="51" spans="2:6" x14ac:dyDescent="0.45">
      <c r="B51" s="6" t="s">
        <v>438</v>
      </c>
      <c r="C51" s="9">
        <v>76.032520325203251</v>
      </c>
      <c r="E51" t="s">
        <v>438</v>
      </c>
      <c r="F51" s="9">
        <f t="shared" si="2"/>
        <v>76.032520325203251</v>
      </c>
    </row>
    <row r="52" spans="2:6" x14ac:dyDescent="0.45">
      <c r="B52" s="6" t="s">
        <v>455</v>
      </c>
      <c r="C52">
        <v>75.34</v>
      </c>
      <c r="E52" t="s">
        <v>455</v>
      </c>
      <c r="F52" s="9">
        <f t="shared" si="2"/>
        <v>75.34</v>
      </c>
    </row>
    <row r="55" spans="2:6" x14ac:dyDescent="0.45">
      <c r="B55" s="5" t="s">
        <v>454</v>
      </c>
      <c r="C55" t="s">
        <v>460</v>
      </c>
      <c r="E55" t="s">
        <v>1</v>
      </c>
      <c r="F55" t="s">
        <v>460</v>
      </c>
    </row>
    <row r="56" spans="2:6" x14ac:dyDescent="0.45">
      <c r="B56" s="6" t="s">
        <v>15</v>
      </c>
      <c r="C56" s="9">
        <v>72.924528301886795</v>
      </c>
      <c r="E56" t="s">
        <v>15</v>
      </c>
      <c r="F56" s="9">
        <f>C56</f>
        <v>72.924528301886795</v>
      </c>
    </row>
    <row r="57" spans="2:6" x14ac:dyDescent="0.45">
      <c r="B57" s="6" t="s">
        <v>44</v>
      </c>
      <c r="C57" s="9">
        <v>74.982456140350877</v>
      </c>
      <c r="E57" t="s">
        <v>44</v>
      </c>
      <c r="F57" s="9">
        <f t="shared" ref="F57:F63" si="3">C57</f>
        <v>74.982456140350877</v>
      </c>
    </row>
    <row r="58" spans="2:6" x14ac:dyDescent="0.45">
      <c r="B58" s="6" t="s">
        <v>19</v>
      </c>
      <c r="C58" s="9">
        <v>75.067796610169495</v>
      </c>
      <c r="E58" t="s">
        <v>19</v>
      </c>
      <c r="F58" s="9">
        <f t="shared" si="3"/>
        <v>75.067796610169495</v>
      </c>
    </row>
    <row r="59" spans="2:6" x14ac:dyDescent="0.45">
      <c r="B59" s="6" t="s">
        <v>25</v>
      </c>
      <c r="C59" s="9">
        <v>75.457627118644069</v>
      </c>
      <c r="E59" t="s">
        <v>25</v>
      </c>
      <c r="F59" s="9">
        <f t="shared" si="3"/>
        <v>75.457627118644069</v>
      </c>
    </row>
    <row r="60" spans="2:6" x14ac:dyDescent="0.45">
      <c r="B60" s="6" t="s">
        <v>22</v>
      </c>
      <c r="C60" s="9">
        <v>75.518518518518519</v>
      </c>
      <c r="E60" t="s">
        <v>22</v>
      </c>
      <c r="F60" s="9">
        <f t="shared" si="3"/>
        <v>75.518518518518519</v>
      </c>
    </row>
    <row r="61" spans="2:6" x14ac:dyDescent="0.45">
      <c r="B61" s="6" t="s">
        <v>49</v>
      </c>
      <c r="C61" s="9">
        <v>76.574074074074076</v>
      </c>
      <c r="E61" t="s">
        <v>49</v>
      </c>
      <c r="F61" s="9">
        <f t="shared" si="3"/>
        <v>76.574074074074076</v>
      </c>
    </row>
    <row r="62" spans="2:6" x14ac:dyDescent="0.45">
      <c r="B62" s="6" t="s">
        <v>10</v>
      </c>
      <c r="C62" s="9">
        <v>76.609375</v>
      </c>
      <c r="E62" t="s">
        <v>10</v>
      </c>
      <c r="F62" s="9">
        <f t="shared" si="3"/>
        <v>76.609375</v>
      </c>
    </row>
    <row r="63" spans="2:6" x14ac:dyDescent="0.45">
      <c r="B63" s="6" t="s">
        <v>455</v>
      </c>
      <c r="C63">
        <v>75.34</v>
      </c>
      <c r="E63" t="s">
        <v>455</v>
      </c>
      <c r="F63" s="9">
        <f t="shared" si="3"/>
        <v>75.34</v>
      </c>
    </row>
    <row r="79" spans="4:5" x14ac:dyDescent="0.45">
      <c r="D79" s="9"/>
      <c r="E79" s="9"/>
    </row>
    <row r="80" spans="4:5" x14ac:dyDescent="0.45">
      <c r="D80" s="9"/>
      <c r="E80" s="9"/>
    </row>
    <row r="81" spans="4:5" x14ac:dyDescent="0.45">
      <c r="D81" s="9"/>
      <c r="E81" s="9"/>
    </row>
    <row r="82" spans="4:5" x14ac:dyDescent="0.45">
      <c r="D82" s="9"/>
      <c r="E82" s="9"/>
    </row>
    <row r="83" spans="4:5" x14ac:dyDescent="0.45">
      <c r="D83" s="9"/>
      <c r="E83" s="9"/>
    </row>
    <row r="84" spans="4:5" x14ac:dyDescent="0.45">
      <c r="D84" s="9"/>
      <c r="E84" s="9"/>
    </row>
    <row r="85" spans="4:5" x14ac:dyDescent="0.45">
      <c r="D85" s="9"/>
      <c r="E85" s="9"/>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819A-1963-4798-92F4-FF41CB68822D}">
  <dimension ref="A1"/>
  <sheetViews>
    <sheetView showGridLines="0" tabSelected="1" zoomScale="98" zoomScaleNormal="98" workbookViewId="0">
      <selection activeCell="D30" sqref="D30"/>
    </sheetView>
  </sheetViews>
  <sheetFormatPr defaultRowHeight="14.25" x14ac:dyDescent="0.45"/>
  <cols>
    <col min="1" max="16384" width="9.066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Hospital_Data</vt:lpstr>
      <vt:lpstr>Clean Hospital_Data </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Splendor Grandeur</dc:creator>
  <cp:lastModifiedBy>Splendor Grandeur</cp:lastModifiedBy>
  <dcterms:created xsi:type="dcterms:W3CDTF">2026-05-28T12:36:58Z</dcterms:created>
  <dcterms:modified xsi:type="dcterms:W3CDTF">2026-05-30T19:07:49Z</dcterms:modified>
</cp:coreProperties>
</file>